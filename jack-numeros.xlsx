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Tabla" sheetId="2" state="visible" r:id="rId4"/>
    <sheet name="Resultados" sheetId="3" state="visible" r:id="rId5"/>
    <sheet name="Pinoleros 505" sheetId="4" state="visible" r:id="rId6"/>
    <sheet name="Warthogs" sheetId="5" state="visible" r:id="rId7"/>
    <sheet name="Goofy's Squad" sheetId="6" state="visible" r:id="rId8"/>
    <sheet name="La Comisión" sheetId="7" state="visible" r:id="rId9"/>
    <sheet name="Drinks" sheetId="8" state="visible" r:id="rId10"/>
  </sheets>
  <definedNames>
    <definedName function="false" hidden="true" localSheetId="5" name="_xlnm._FilterDatabase" vbProcedure="false">'Goofy''s Squad'!$A$4:$N$24</definedName>
    <definedName function="false" hidden="true" localSheetId="6" name="_xlnm._FilterDatabase" vbProcedure="false">'La Comisión'!$A$4:$N$14</definedName>
    <definedName function="false" hidden="true" localSheetId="3" name="_xlnm._FilterDatabase" vbProcedure="false">'Pinoleros 505'!$A$4:$N$22</definedName>
    <definedName function="false" hidden="true" localSheetId="4" name="_xlnm._FilterDatabase" vbProcedure="false">Warthogs!$A$4:$N$18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<sst xmlns="http://schemas.openxmlformats.org/spreadsheetml/2006/main" count="376" uniqueCount="174">
  <si>
    <t xml:space="preserve">Números de la JACK · La Mella League</t>
  </si>
  <si>
    <t xml:space="preserve">Liga</t>
  </si>
  <si>
    <t xml:space="preserve">JACK Andy Alonso · Temporada 21 · jueves en el Estadio Municipal Andy Alonso</t>
  </si>
  <si>
    <t xml:space="preserve">Corte</t>
  </si>
  <si>
    <t xml:space="preserve">Después de la jornada 4 (jueves 1 de octubre de 2026)</t>
  </si>
  <si>
    <t xml:space="preserve">Desarrollo</t>
  </si>
  <si>
    <t xml:space="preserve">Desarrollo único para La Mella League y Liga Deportiva de Albrook</t>
  </si>
  <si>
    <t xml:space="preserve">Abreviaturas</t>
  </si>
  <si>
    <t xml:space="preserve">JJ</t>
  </si>
  <si>
    <t xml:space="preserve">Juegos jugados</t>
  </si>
  <si>
    <t xml:space="preserve">AP</t>
  </si>
  <si>
    <t xml:space="preserve">Apariciones al plato</t>
  </si>
  <si>
    <t xml:space="preserve">H</t>
  </si>
  <si>
    <t xml:space="preserve">Hits</t>
  </si>
  <si>
    <t xml:space="preserve">2B</t>
  </si>
  <si>
    <t xml:space="preserve">Dobles</t>
  </si>
  <si>
    <t xml:space="preserve">3B</t>
  </si>
  <si>
    <t xml:space="preserve">Triples</t>
  </si>
  <si>
    <t xml:space="preserve">HR</t>
  </si>
  <si>
    <t xml:space="preserve">Jonrones</t>
  </si>
  <si>
    <t xml:space="preserve">CI</t>
  </si>
  <si>
    <t xml:space="preserve">Carreras impulsadas</t>
  </si>
  <si>
    <t xml:space="preserve">PRO</t>
  </si>
  <si>
    <t xml:space="preserve">Promedio de bateo</t>
  </si>
  <si>
    <t xml:space="preserve">EL</t>
  </si>
  <si>
    <t xml:space="preserve">Entradas lanzadas</t>
  </si>
  <si>
    <t xml:space="preserve">JG</t>
  </si>
  <si>
    <t xml:space="preserve">Juegos ganados</t>
  </si>
  <si>
    <t xml:space="preserve">K</t>
  </si>
  <si>
    <t xml:space="preserve">Ponches</t>
  </si>
  <si>
    <t xml:space="preserve">EFE</t>
  </si>
  <si>
    <t xml:space="preserve">Efectividad sobre 7 entradas</t>
  </si>
  <si>
    <t xml:space="preserve">¿Quieres jugar en La Mella?</t>
  </si>
  <si>
    <t xml:space="preserve">Martes</t>
  </si>
  <si>
    <t xml:space="preserve">Meracho + · Complejo Deportivo del MEF, Albrook · $450 por equipo · 4 juegos garantizados · quedan 4 cupos</t>
  </si>
  <si>
    <t xml:space="preserve">Miércoles</t>
  </si>
  <si>
    <t xml:space="preserve">Meracho Senior · Complejo Deportivo del MEF, Albrook · cerrada, arranca el 16 de septiembre</t>
  </si>
  <si>
    <t xml:space="preserve">Jueves</t>
  </si>
  <si>
    <t xml:space="preserve">Merachos Contraloría · cuadro de la Contraloría, transmisión multicámara con Tiger League · $450 por equipo · 4 juegos garantizados · queda 1 cupo</t>
  </si>
  <si>
    <t xml:space="preserve">JACK Andy Alonso · Estadio Municipal Andy Alonso · cerrada, en juego</t>
  </si>
  <si>
    <t xml:space="preserve">Reserva tu cupo</t>
  </si>
  <si>
    <t xml:space="preserve">WhatsApp 6497-3574 o 6232-7853, con el nombre de tu equipo. El pago es el cupo: se paga antes de la primera jornada.</t>
  </si>
  <si>
    <t xml:space="preserve">Cómo pagar</t>
  </si>
  <si>
    <t xml:space="preserve">Yappy @lamellapma o Banco General, cuenta de ahorros 04-80-01-522742-4 (Grupo Agro Turístico La Mella). No se recibe efectivo.</t>
  </si>
  <si>
    <t xml:space="preserve">Página</t>
  </si>
  <si>
    <t xml:space="preserve">lamellaleague.github.io · calendarios, tablas y números de todas las ligas</t>
  </si>
  <si>
    <t xml:space="preserve">Tabla de posiciones</t>
  </si>
  <si>
    <t xml:space="preserve">Se calcula sola desde la hoja «Resultados». El orden sigue el reglamento de desempates de La Mella y se revisa cada semana.</t>
  </si>
  <si>
    <t xml:space="preserve">#</t>
  </si>
  <si>
    <t xml:space="preserve">Equipo</t>
  </si>
  <si>
    <t xml:space="preserve">G</t>
  </si>
  <si>
    <t xml:space="preserve">P</t>
  </si>
  <si>
    <t xml:space="preserve">CA</t>
  </si>
  <si>
    <t xml:space="preserve">CP</t>
  </si>
  <si>
    <t xml:space="preserve">DIF</t>
  </si>
  <si>
    <t xml:space="preserve">PCT</t>
  </si>
  <si>
    <t xml:space="preserve">Drinks</t>
  </si>
  <si>
    <t xml:space="preserve">Pinoleros 505</t>
  </si>
  <si>
    <t xml:space="preserve">Warthogs</t>
  </si>
  <si>
    <t xml:space="preserve">La Comisión</t>
  </si>
  <si>
    <t xml:space="preserve">Goofy's Squad</t>
  </si>
  <si>
    <t xml:space="preserve">Desempate tras la jornada 4: Pinoleros 505 sobre Warthogs (los dos 2-1) por diferencia global de carreras, +27 contra +2; no se han enfrentado y juegan el jueves 8 de octubre. Drinks queda solo arriba, invicto. Goofy’s Squad descansó.</t>
  </si>
  <si>
    <t xml:space="preserve">Resultados</t>
  </si>
  <si>
    <t xml:space="preserve">Marcador final de cada juego.</t>
  </si>
  <si>
    <t xml:space="preserve">Jornada</t>
  </si>
  <si>
    <t xml:space="preserve">Fecha</t>
  </si>
  <si>
    <t xml:space="preserve">Hora</t>
  </si>
  <si>
    <t xml:space="preserve">Visitante</t>
  </si>
  <si>
    <t xml:space="preserve">C</t>
  </si>
  <si>
    <t xml:space="preserve">Local</t>
  </si>
  <si>
    <t xml:space="preserve">Entradas</t>
  </si>
  <si>
    <t xml:space="preserve">jue 10 sep</t>
  </si>
  <si>
    <t xml:space="preserve">8:00 pm</t>
  </si>
  <si>
    <t xml:space="preserve">9:30 pm</t>
  </si>
  <si>
    <t xml:space="preserve">jue 17 sep</t>
  </si>
  <si>
    <t xml:space="preserve">jue 24 sep</t>
  </si>
  <si>
    <t xml:space="preserve">jue 1 oct</t>
  </si>
  <si>
    <t xml:space="preserve">JACK Andy Alonso · Temporada 21 · corte después de la jornada 4 (jueves 1 oct 2026)</t>
  </si>
  <si>
    <t xml:space="preserve">Jugador</t>
  </si>
  <si>
    <t xml:space="preserve">Brando Hernandez</t>
  </si>
  <si>
    <t xml:space="preserve">Gerald Arriola</t>
  </si>
  <si>
    <t xml:space="preserve">Josue Mayorga</t>
  </si>
  <si>
    <t xml:space="preserve">Jose Ortiz</t>
  </si>
  <si>
    <t xml:space="preserve">Elmer Meneses</t>
  </si>
  <si>
    <t xml:space="preserve">Andy Hill</t>
  </si>
  <si>
    <t xml:space="preserve">Kevin Obando</t>
  </si>
  <si>
    <t xml:space="preserve">Neymar Valle</t>
  </si>
  <si>
    <t xml:space="preserve">Rodrigo Mejia</t>
  </si>
  <si>
    <t xml:space="preserve">Bryan Hernandez</t>
  </si>
  <si>
    <t xml:space="preserve">Moises Reyes</t>
  </si>
  <si>
    <t xml:space="preserve">Norvin Osorio</t>
  </si>
  <si>
    <t xml:space="preserve">Jose Brenes</t>
  </si>
  <si>
    <t xml:space="preserve">Julio Lanuza</t>
  </si>
  <si>
    <t xml:space="preserve">Allan Nuñez</t>
  </si>
  <si>
    <t xml:space="preserve">Eric Batista</t>
  </si>
  <si>
    <t xml:space="preserve">Frambely Gutierrez</t>
  </si>
  <si>
    <t xml:space="preserve">Moises Moraga</t>
  </si>
  <si>
    <t xml:space="preserve">Gustavo Lopez</t>
  </si>
  <si>
    <t xml:space="preserve">Luis Grijalva</t>
  </si>
  <si>
    <t xml:space="preserve">Alexander Beitia</t>
  </si>
  <si>
    <t xml:space="preserve">German Castro</t>
  </si>
  <si>
    <t xml:space="preserve">Abdiel Cerrud</t>
  </si>
  <si>
    <t xml:space="preserve">Manuel Aizpurua</t>
  </si>
  <si>
    <t xml:space="preserve">Martin Castillero</t>
  </si>
  <si>
    <t xml:space="preserve">Hector Ruiz</t>
  </si>
  <si>
    <t xml:space="preserve">Josue Bragtley</t>
  </si>
  <si>
    <t xml:space="preserve">William Rodriguez</t>
  </si>
  <si>
    <t xml:space="preserve">Jonathan Santos</t>
  </si>
  <si>
    <t xml:space="preserve">Jose Donado</t>
  </si>
  <si>
    <t xml:space="preserve">Moises Tenorio</t>
  </si>
  <si>
    <t xml:space="preserve">Isaias Rangel</t>
  </si>
  <si>
    <t xml:space="preserve">Johan Castillo</t>
  </si>
  <si>
    <t xml:space="preserve">Martin Castillero Jr</t>
  </si>
  <si>
    <t xml:space="preserve">Elvis Espino</t>
  </si>
  <si>
    <t xml:space="preserve">Hector Vergara</t>
  </si>
  <si>
    <t xml:space="preserve">Ali Piña</t>
  </si>
  <si>
    <t xml:space="preserve">Josue Cerrud</t>
  </si>
  <si>
    <t xml:space="preserve">Javier Nay</t>
  </si>
  <si>
    <t xml:space="preserve">Gustavo</t>
  </si>
  <si>
    <t xml:space="preserve">Luis Silva</t>
  </si>
  <si>
    <t xml:space="preserve">Deiker</t>
  </si>
  <si>
    <t xml:space="preserve">Satoshi</t>
  </si>
  <si>
    <t xml:space="preserve">Francksco G</t>
  </si>
  <si>
    <t xml:space="preserve">Josue</t>
  </si>
  <si>
    <t xml:space="preserve">Randy</t>
  </si>
  <si>
    <t xml:space="preserve">Manu</t>
  </si>
  <si>
    <t xml:space="preserve">Manu Pitty</t>
  </si>
  <si>
    <t xml:space="preserve">Rigoberto</t>
  </si>
  <si>
    <t xml:space="preserve">Roberto</t>
  </si>
  <si>
    <t xml:space="preserve">Anyerigue</t>
  </si>
  <si>
    <t xml:space="preserve">Fernando Jr</t>
  </si>
  <si>
    <t xml:space="preserve">Gabriel Chong</t>
  </si>
  <si>
    <t xml:space="preserve">Ricardo Adames</t>
  </si>
  <si>
    <t xml:space="preserve">Yurlo</t>
  </si>
  <si>
    <t xml:space="preserve">Banyeir Mojica</t>
  </si>
  <si>
    <t xml:space="preserve">Franco</t>
  </si>
  <si>
    <t xml:space="preserve">Heber</t>
  </si>
  <si>
    <t xml:space="preserve">Isaac</t>
  </si>
  <si>
    <t xml:space="preserve">Joaco Lombar Jr</t>
  </si>
  <si>
    <t xml:space="preserve">Marcano</t>
  </si>
  <si>
    <t xml:space="preserve">Dionel Zambrano</t>
  </si>
  <si>
    <t xml:space="preserve">Edwin Perez</t>
  </si>
  <si>
    <t xml:space="preserve">Cesar Quiu</t>
  </si>
  <si>
    <t xml:space="preserve">Eugenio Herrera</t>
  </si>
  <si>
    <t xml:space="preserve">Jose Isaac Martinez</t>
  </si>
  <si>
    <t xml:space="preserve">Alberto Orozco</t>
  </si>
  <si>
    <t xml:space="preserve">David Delgado</t>
  </si>
  <si>
    <t xml:space="preserve">Eric Sugasti</t>
  </si>
  <si>
    <t xml:space="preserve">Javier Lao</t>
  </si>
  <si>
    <t xml:space="preserve">Jostin Serrano</t>
  </si>
  <si>
    <t xml:space="preserve">Adrian Mejia</t>
  </si>
  <si>
    <t xml:space="preserve">Alexis Osorio</t>
  </si>
  <si>
    <t xml:space="preserve">Rainiel Bustamante</t>
  </si>
  <si>
    <t xml:space="preserve">Jose Gonzalez</t>
  </si>
  <si>
    <t xml:space="preserve">Reymond Delisser</t>
  </si>
  <si>
    <t xml:space="preserve">Juan Soto</t>
  </si>
  <si>
    <t xml:space="preserve">Julio Torres</t>
  </si>
  <si>
    <t xml:space="preserve">Ovidio Guerra</t>
  </si>
  <si>
    <t xml:space="preserve">Rey Mendez</t>
  </si>
  <si>
    <t xml:space="preserve">Bryan Meza</t>
  </si>
  <si>
    <t xml:space="preserve">Ronald Caballero</t>
  </si>
  <si>
    <t xml:space="preserve">Joel Duarte</t>
  </si>
  <si>
    <t xml:space="preserve">Kleyton Vargas</t>
  </si>
  <si>
    <t xml:space="preserve">Anthony Guevara</t>
  </si>
  <si>
    <t xml:space="preserve">Nico Flores</t>
  </si>
  <si>
    <t xml:space="preserve">Jonathan Marquez</t>
  </si>
  <si>
    <t xml:space="preserve">Anel Quintero</t>
  </si>
  <si>
    <t xml:space="preserve">Jorge Saavedra</t>
  </si>
  <si>
    <t xml:space="preserve">Orlando Pinzon</t>
  </si>
  <si>
    <t xml:space="preserve">Ernie Bernat</t>
  </si>
  <si>
    <t xml:space="preserve">Oliver Rubio</t>
  </si>
  <si>
    <t xml:space="preserve">Bryan Quintero</t>
  </si>
  <si>
    <t xml:space="preserve">Efrahin Vargas</t>
  </si>
  <si>
    <t xml:space="preserve">Eliecer Castillo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</si>
</sst>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+0;\-0;0"/>
    <numFmt numFmtId="166" formatCode="0.000"/>
    <numFmt numFmtId="167" formatCode="0.0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FEC"/>
        <bgColor rgb="FFCCFFFF"/>
      </patternFill>
    </fill>
    <fill>
      <patternFill patternType="solid">
        <fgColor rgb="FF14140E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4140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F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4140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0"/>
  </cols>
  <sheetData>
    <row r="1" customFormat="false" ht="19.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23.25" hidden="false" customHeight="true" outlineLevel="0" collapsed="false">
      <c r="A6" s="3"/>
      <c r="B6" s="4"/>
    </row>
    <row r="7" customFormat="false" ht="23.25" hidden="false" customHeight="true" outlineLevel="0" collapsed="false">
      <c r="A7" s="3" t="s">
        <v>7</v>
      </c>
      <c r="B7" s="4"/>
    </row>
    <row r="8" customFormat="false" ht="23.25" hidden="false" customHeight="true" outlineLevel="0" collapsed="false">
      <c r="A8" s="3" t="s">
        <v>8</v>
      </c>
      <c r="B8" s="5" t="s">
        <v>9</v>
      </c>
    </row>
    <row r="9" customFormat="false" ht="15" hidden="false" customHeight="true" outlineLevel="0" collapsed="false">
      <c r="A9" s="3" t="s">
        <v>10</v>
      </c>
      <c r="B9" s="5" t="s">
        <v>11</v>
      </c>
    </row>
    <row r="10" customFormat="false" ht="15" hidden="false" customHeight="true" outlineLevel="0" collapsed="false">
      <c r="A10" s="3" t="s">
        <v>12</v>
      </c>
      <c r="B10" s="5" t="s">
        <v>13</v>
      </c>
    </row>
    <row r="11" customFormat="false" ht="15" hidden="false" customHeight="true" outlineLevel="0" collapsed="false">
      <c r="A11" s="3" t="s">
        <v>14</v>
      </c>
      <c r="B11" s="5" t="s">
        <v>15</v>
      </c>
    </row>
    <row r="12" customFormat="false" ht="15" hidden="false" customHeight="true" outlineLevel="0" collapsed="false">
      <c r="A12" s="3" t="s">
        <v>16</v>
      </c>
      <c r="B12" s="5" t="s">
        <v>17</v>
      </c>
    </row>
    <row r="13" customFormat="false" ht="15" hidden="false" customHeight="true" outlineLevel="0" collapsed="false">
      <c r="A13" s="3" t="s">
        <v>18</v>
      </c>
      <c r="B13" s="5" t="s">
        <v>19</v>
      </c>
    </row>
    <row r="14" customFormat="false" ht="15" hidden="false" customHeight="true" outlineLevel="0" collapsed="false">
      <c r="A14" s="3" t="s">
        <v>20</v>
      </c>
      <c r="B14" s="5" t="s">
        <v>21</v>
      </c>
    </row>
    <row r="15" customFormat="false" ht="15" hidden="false" customHeight="true" outlineLevel="0" collapsed="false">
      <c r="A15" s="3" t="s">
        <v>22</v>
      </c>
      <c r="B15" s="5" t="s">
        <v>23</v>
      </c>
    </row>
    <row r="16" customFormat="false" ht="15" hidden="false" customHeight="true" outlineLevel="0" collapsed="false">
      <c r="A16" s="3" t="s">
        <v>24</v>
      </c>
      <c r="B16" s="5" t="s">
        <v>25</v>
      </c>
    </row>
    <row r="17" customFormat="false" ht="15" hidden="false" customHeight="true" outlineLevel="0" collapsed="false">
      <c r="A17" s="3" t="s">
        <v>26</v>
      </c>
      <c r="B17" s="5" t="s">
        <v>27</v>
      </c>
    </row>
    <row r="18" customFormat="false" ht="15" hidden="false" customHeight="true" outlineLevel="0" collapsed="false">
      <c r="A18" s="3" t="s">
        <v>28</v>
      </c>
      <c r="B18" s="5" t="s">
        <v>29</v>
      </c>
    </row>
    <row r="19" customFormat="false" ht="15" hidden="false" customHeight="true" outlineLevel="0" collapsed="false">
      <c r="A19" s="3" t="s">
        <v>30</v>
      </c>
      <c r="B19" s="5" t="s">
        <v>31</v>
      </c>
    </row>
    <row r="20" customFormat="false" ht="15" hidden="false" customHeight="true" outlineLevel="0" collapsed="false">
      <c r="A20" s="3"/>
      <c r="B20" s="5"/>
    </row>
    <row r="21" customFormat="false" ht="15" hidden="false" customHeight="true" outlineLevel="0" collapsed="false">
      <c r="A21" s="6" t="s">
        <v>32</v>
      </c>
      <c r="B21" s="5"/>
    </row>
    <row r="22" customFormat="false" ht="15" hidden="false" customHeight="true" outlineLevel="0" collapsed="false">
      <c r="A22" s="7" t="s">
        <v>33</v>
      </c>
      <c r="B22" s="8" t="s">
        <v>34</v>
      </c>
    </row>
    <row r="23" customFormat="false" ht="15" hidden="false" customHeight="true" outlineLevel="0" collapsed="false">
      <c r="A23" s="7" t="s">
        <v>35</v>
      </c>
      <c r="B23" s="8" t="s">
        <v>36</v>
      </c>
    </row>
    <row r="24" customFormat="false" ht="15" hidden="false" customHeight="true" outlineLevel="0" collapsed="false">
      <c r="A24" s="7" t="s">
        <v>37</v>
      </c>
      <c r="B24" s="8" t="s">
        <v>38</v>
      </c>
    </row>
    <row r="25" customFormat="false" ht="23.25" hidden="false" customHeight="true" outlineLevel="0" collapsed="false">
      <c r="A25" s="7" t="s">
        <v>37</v>
      </c>
      <c r="B25" s="8" t="s">
        <v>39</v>
      </c>
    </row>
    <row r="26" customFormat="false" ht="15" hidden="false" customHeight="true" outlineLevel="0" collapsed="false">
      <c r="A26" s="7" t="s">
        <v>40</v>
      </c>
      <c r="B26" s="8" t="s">
        <v>41</v>
      </c>
    </row>
    <row r="27" customFormat="false" ht="15" hidden="false" customHeight="true" outlineLevel="0" collapsed="false">
      <c r="A27" s="7" t="s">
        <v>42</v>
      </c>
      <c r="B27" s="8" t="s">
        <v>43</v>
      </c>
    </row>
    <row r="28" customFormat="false" ht="23.25" hidden="false" customHeight="true" outlineLevel="0" collapsed="false">
      <c r="A28" s="7" t="s">
        <v>44</v>
      </c>
      <c r="B28" s="8" t="s">
        <v>45</v>
      </c>
    </row>
    <row r="29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7" min="3" style="1" width="6"/>
    <col collapsed="false" customWidth="true" hidden="false" outlineLevel="0" max="8" min="8" style="1" width="7"/>
    <col collapsed="false" customWidth="true" hidden="false" outlineLevel="0" max="9" min="9" style="1" width="8"/>
  </cols>
  <sheetData>
    <row r="1" customFormat="false" ht="19.5" hidden="false" customHeight="true" outlineLevel="0" collapsed="false">
      <c r="A1" s="2" t="s">
        <v>46</v>
      </c>
    </row>
    <row r="2" customFormat="false" ht="15" hidden="false" customHeight="true" outlineLevel="0" collapsed="false">
      <c r="A2" s="9" t="s">
        <v>47</v>
      </c>
    </row>
    <row r="4" customFormat="false" ht="15" hidden="false" customHeight="true" outlineLevel="0" collapsed="false">
      <c r="A4" s="10" t="s">
        <v>48</v>
      </c>
      <c r="B4" s="10" t="s">
        <v>49</v>
      </c>
      <c r="C4" s="10" t="s">
        <v>8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0" t="s">
        <v>55</v>
      </c>
    </row>
    <row r="5" customFormat="false" ht="15" hidden="false" customHeight="true" outlineLevel="0" collapsed="false">
      <c r="A5" s="11" t="n">
        <v>1</v>
      </c>
      <c r="B5" s="12" t="s">
        <v>56</v>
      </c>
      <c r="C5" s="11" t="n">
        <f aca="false">COUNTIF(Resultados!$D$5:$D$200,$B5)+COUNTIF(Resultados!$F$5:$F$200,$B5)</f>
        <v>3</v>
      </c>
      <c r="D5" s="11" t="n">
        <f aca="false">SUMPRODUCT((Resultados!$D$5:$D$200=$B5)*(Resultados!$E$5:$E$200&gt;Resultados!$G$5:$G$200))+SUMPRODUCT((Resultados!$F$5:$F$200=$B5)*(Resultados!$G$5:$G$200&gt;Resultados!$E$5:$E$200))</f>
        <v>3</v>
      </c>
      <c r="E5" s="11" t="n">
        <f aca="false">SUMPRODUCT((Resultados!$D$5:$D$200=$B5)*(Resultados!$E$5:$E$200&lt;Resultados!$G$5:$G$200))+SUMPRODUCT((Resultados!$F$5:$F$200=$B5)*(Resultados!$G$5:$G$200&lt;Resultados!$E$5:$E$200))</f>
        <v>0</v>
      </c>
      <c r="F5" s="11" t="n">
        <f aca="false">SUMIF(Resultados!$D$5:$D$200,$B5,Resultados!$E$5:$E$200)+SUMIF(Resultados!$F$5:$F$200,$B5,Resultados!$G$5:$G$200)</f>
        <v>38</v>
      </c>
      <c r="G5" s="11" t="n">
        <f aca="false">SUMIF(Resultados!$D$5:$D$200,$B5,Resultados!$G$5:$G$200)+SUMIF(Resultados!$F$5:$F$200,$B5,Resultados!$E$5:$E$200)</f>
        <v>10</v>
      </c>
      <c r="H5" s="13" t="n">
        <f aca="false">F5-G5</f>
        <v>28</v>
      </c>
      <c r="I5" s="14" t="n">
        <f aca="false">IF(C5=0,"",D5/C5)</f>
        <v>1</v>
      </c>
    </row>
    <row r="6" customFormat="false" ht="15" hidden="false" customHeight="true" outlineLevel="0" collapsed="false">
      <c r="A6" s="11" t="n">
        <v>2</v>
      </c>
      <c r="B6" s="12" t="s">
        <v>57</v>
      </c>
      <c r="C6" s="11" t="n">
        <f aca="false">COUNTIF(Resultados!$D$5:$D$200,$B6)+COUNTIF(Resultados!$F$5:$F$200,$B6)</f>
        <v>3</v>
      </c>
      <c r="D6" s="11" t="n">
        <f aca="false">SUMPRODUCT((Resultados!$D$5:$D$200=$B6)*(Resultados!$E$5:$E$200&gt;Resultados!$G$5:$G$200))+SUMPRODUCT((Resultados!$F$5:$F$200=$B6)*(Resultados!$G$5:$G$200&gt;Resultados!$E$5:$E$200))</f>
        <v>2</v>
      </c>
      <c r="E6" s="11" t="n">
        <f aca="false">SUMPRODUCT((Resultados!$D$5:$D$200=$B6)*(Resultados!$E$5:$E$200&lt;Resultados!$G$5:$G$200))+SUMPRODUCT((Resultados!$F$5:$F$200=$B6)*(Resultados!$G$5:$G$200&lt;Resultados!$E$5:$E$200))</f>
        <v>1</v>
      </c>
      <c r="F6" s="11" t="n">
        <f aca="false">SUMIF(Resultados!$D$5:$D$200,$B6,Resultados!$E$5:$E$200)+SUMIF(Resultados!$F$5:$F$200,$B6,Resultados!$G$5:$G$200)</f>
        <v>35</v>
      </c>
      <c r="G6" s="11" t="n">
        <f aca="false">SUMIF(Resultados!$D$5:$D$200,$B6,Resultados!$G$5:$G$200)+SUMIF(Resultados!$F$5:$F$200,$B6,Resultados!$E$5:$E$200)</f>
        <v>8</v>
      </c>
      <c r="H6" s="13" t="n">
        <f aca="false">F6-G6</f>
        <v>27</v>
      </c>
      <c r="I6" s="14" t="n">
        <f aca="false">IF(C6=0,"",D6/C6)</f>
        <v>0.666666666666667</v>
      </c>
    </row>
    <row r="7" customFormat="false" ht="15" hidden="false" customHeight="true" outlineLevel="0" collapsed="false">
      <c r="A7" s="11" t="n">
        <v>3</v>
      </c>
      <c r="B7" s="12" t="s">
        <v>58</v>
      </c>
      <c r="C7" s="11" t="n">
        <f aca="false">COUNTIF(Resultados!$D$5:$D$200,$B7)+COUNTIF(Resultados!$F$5:$F$200,$B7)</f>
        <v>3</v>
      </c>
      <c r="D7" s="11" t="n">
        <f aca="false">SUMPRODUCT((Resultados!$D$5:$D$200=$B7)*(Resultados!$E$5:$E$200&gt;Resultados!$G$5:$G$200))+SUMPRODUCT((Resultados!$F$5:$F$200=$B7)*(Resultados!$G$5:$G$200&gt;Resultados!$E$5:$E$200))</f>
        <v>2</v>
      </c>
      <c r="E7" s="11" t="n">
        <f aca="false">SUMPRODUCT((Resultados!$D$5:$D$200=$B7)*(Resultados!$E$5:$E$200&lt;Resultados!$G$5:$G$200))+SUMPRODUCT((Resultados!$F$5:$F$200=$B7)*(Resultados!$G$5:$G$200&lt;Resultados!$E$5:$E$200))</f>
        <v>1</v>
      </c>
      <c r="F7" s="11" t="n">
        <f aca="false">SUMIF(Resultados!$D$5:$D$200,$B7,Resultados!$E$5:$E$200)+SUMIF(Resultados!$F$5:$F$200,$B7,Resultados!$G$5:$G$200)</f>
        <v>33</v>
      </c>
      <c r="G7" s="11" t="n">
        <f aca="false">SUMIF(Resultados!$D$5:$D$200,$B7,Resultados!$G$5:$G$200)+SUMIF(Resultados!$F$5:$F$200,$B7,Resultados!$E$5:$E$200)</f>
        <v>31</v>
      </c>
      <c r="H7" s="13" t="n">
        <f aca="false">F7-G7</f>
        <v>2</v>
      </c>
      <c r="I7" s="14" t="n">
        <f aca="false">IF(C7=0,"",D7/C7)</f>
        <v>0.666666666666667</v>
      </c>
    </row>
    <row r="8" customFormat="false" ht="15" hidden="false" customHeight="true" outlineLevel="0" collapsed="false">
      <c r="A8" s="11" t="n">
        <v>4</v>
      </c>
      <c r="B8" s="12" t="s">
        <v>59</v>
      </c>
      <c r="C8" s="11" t="n">
        <f aca="false">COUNTIF(Resultados!$D$5:$D$200,$B8)+COUNTIF(Resultados!$F$5:$F$200,$B8)</f>
        <v>4</v>
      </c>
      <c r="D8" s="11" t="n">
        <f aca="false">SUMPRODUCT((Resultados!$D$5:$D$200=$B8)*(Resultados!$E$5:$E$200&gt;Resultados!$G$5:$G$200))+SUMPRODUCT((Resultados!$F$5:$F$200=$B8)*(Resultados!$G$5:$G$200&gt;Resultados!$E$5:$E$200))</f>
        <v>1</v>
      </c>
      <c r="E8" s="11" t="n">
        <f aca="false">SUMPRODUCT((Resultados!$D$5:$D$200=$B8)*(Resultados!$E$5:$E$200&lt;Resultados!$G$5:$G$200))+SUMPRODUCT((Resultados!$F$5:$F$200=$B8)*(Resultados!$G$5:$G$200&lt;Resultados!$E$5:$E$200))</f>
        <v>3</v>
      </c>
      <c r="F8" s="11" t="n">
        <f aca="false">SUMIF(Resultados!$D$5:$D$200,$B8,Resultados!$E$5:$E$200)+SUMIF(Resultados!$F$5:$F$200,$B8,Resultados!$G$5:$G$200)</f>
        <v>30</v>
      </c>
      <c r="G8" s="11" t="n">
        <f aca="false">SUMIF(Resultados!$D$5:$D$200,$B8,Resultados!$G$5:$G$200)+SUMIF(Resultados!$F$5:$F$200,$B8,Resultados!$E$5:$E$200)</f>
        <v>58</v>
      </c>
      <c r="H8" s="13" t="n">
        <f aca="false">F8-G8</f>
        <v>-28</v>
      </c>
      <c r="I8" s="14" t="n">
        <f aca="false">IF(C8=0,"",D8/C8)</f>
        <v>0.25</v>
      </c>
    </row>
    <row r="9" customFormat="false" ht="15" hidden="false" customHeight="true" outlineLevel="0" collapsed="false">
      <c r="A9" s="11" t="n">
        <v>5</v>
      </c>
      <c r="B9" s="12" t="s">
        <v>60</v>
      </c>
      <c r="C9" s="11" t="n">
        <f aca="false">COUNTIF(Resultados!$D$5:$D$200,$B9)+COUNTIF(Resultados!$F$5:$F$200,$B9)</f>
        <v>3</v>
      </c>
      <c r="D9" s="11" t="n">
        <f aca="false">SUMPRODUCT((Resultados!$D$5:$D$200=$B9)*(Resultados!$E$5:$E$200&gt;Resultados!$G$5:$G$200))+SUMPRODUCT((Resultados!$F$5:$F$200=$B9)*(Resultados!$G$5:$G$200&gt;Resultados!$E$5:$E$200))</f>
        <v>0</v>
      </c>
      <c r="E9" s="11" t="n">
        <f aca="false">SUMPRODUCT((Resultados!$D$5:$D$200=$B9)*(Resultados!$E$5:$E$200&lt;Resultados!$G$5:$G$200))+SUMPRODUCT((Resultados!$F$5:$F$200=$B9)*(Resultados!$G$5:$G$200&lt;Resultados!$E$5:$E$200))</f>
        <v>3</v>
      </c>
      <c r="F9" s="11" t="n">
        <f aca="false">SUMIF(Resultados!$D$5:$D$200,$B9,Resultados!$E$5:$E$200)+SUMIF(Resultados!$F$5:$F$200,$B9,Resultados!$G$5:$G$200)</f>
        <v>10</v>
      </c>
      <c r="G9" s="11" t="n">
        <f aca="false">SUMIF(Resultados!$D$5:$D$200,$B9,Resultados!$G$5:$G$200)+SUMIF(Resultados!$F$5:$F$200,$B9,Resultados!$E$5:$E$200)</f>
        <v>39</v>
      </c>
      <c r="H9" s="13" t="n">
        <f aca="false">F9-G9</f>
        <v>-29</v>
      </c>
      <c r="I9" s="14" t="n">
        <f aca="false">IF(C9=0,"",D9/C9)</f>
        <v>0</v>
      </c>
    </row>
    <row r="11" customFormat="false" ht="15" hidden="false" customHeight="true" outlineLevel="0" collapsed="false">
      <c r="A11" s="9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4" min="4" style="1" width="18"/>
    <col collapsed="false" customWidth="true" hidden="false" outlineLevel="0" max="5" min="5" style="1" width="6"/>
    <col collapsed="false" customWidth="true" hidden="false" outlineLevel="0" max="6" min="6" style="1" width="18"/>
    <col collapsed="false" customWidth="true" hidden="false" outlineLevel="0" max="7" min="7" style="1" width="6"/>
    <col collapsed="false" customWidth="true" hidden="false" outlineLevel="0" max="8" min="8" style="1" width="10"/>
  </cols>
  <sheetData>
    <row r="1" customFormat="false" ht="19.5" hidden="false" customHeight="true" outlineLevel="0" collapsed="false">
      <c r="A1" s="2" t="s">
        <v>62</v>
      </c>
    </row>
    <row r="2" customFormat="false" ht="15" hidden="false" customHeight="true" outlineLevel="0" collapsed="false">
      <c r="A2" s="9" t="s">
        <v>63</v>
      </c>
    </row>
    <row r="4" customFormat="false" ht="15" hidden="false" customHeight="true" outlineLevel="0" collapsed="false">
      <c r="A4" s="10" t="s">
        <v>64</v>
      </c>
      <c r="B4" s="10" t="s">
        <v>65</v>
      </c>
      <c r="C4" s="10" t="s">
        <v>66</v>
      </c>
      <c r="D4" s="10" t="s">
        <v>67</v>
      </c>
      <c r="E4" s="10" t="s">
        <v>68</v>
      </c>
      <c r="F4" s="10" t="s">
        <v>69</v>
      </c>
      <c r="G4" s="10" t="s">
        <v>68</v>
      </c>
      <c r="H4" s="10" t="s">
        <v>70</v>
      </c>
    </row>
    <row r="5" customFormat="false" ht="15" hidden="false" customHeight="true" outlineLevel="0" collapsed="false">
      <c r="A5" s="11" t="n">
        <v>1</v>
      </c>
      <c r="B5" s="11" t="s">
        <v>71</v>
      </c>
      <c r="C5" s="11" t="s">
        <v>72</v>
      </c>
      <c r="D5" s="15" t="s">
        <v>60</v>
      </c>
      <c r="E5" s="11" t="n">
        <v>6</v>
      </c>
      <c r="F5" s="15" t="s">
        <v>58</v>
      </c>
      <c r="G5" s="11" t="n">
        <v>17</v>
      </c>
      <c r="H5" s="11" t="n">
        <v>5</v>
      </c>
    </row>
    <row r="6" customFormat="false" ht="15" hidden="false" customHeight="true" outlineLevel="0" collapsed="false">
      <c r="A6" s="11" t="n">
        <v>1</v>
      </c>
      <c r="B6" s="11" t="s">
        <v>71</v>
      </c>
      <c r="C6" s="11" t="s">
        <v>73</v>
      </c>
      <c r="D6" s="15" t="s">
        <v>59</v>
      </c>
      <c r="E6" s="11" t="n">
        <v>1</v>
      </c>
      <c r="F6" s="15" t="s">
        <v>57</v>
      </c>
      <c r="G6" s="11" t="n">
        <v>21</v>
      </c>
      <c r="H6" s="11" t="n">
        <v>3</v>
      </c>
    </row>
    <row r="7" customFormat="false" ht="15" hidden="false" customHeight="true" outlineLevel="0" collapsed="false">
      <c r="A7" s="11" t="n">
        <v>2</v>
      </c>
      <c r="B7" s="11" t="s">
        <v>74</v>
      </c>
      <c r="C7" s="11" t="s">
        <v>72</v>
      </c>
      <c r="D7" s="15" t="s">
        <v>60</v>
      </c>
      <c r="E7" s="11" t="n">
        <v>3</v>
      </c>
      <c r="F7" s="15" t="s">
        <v>59</v>
      </c>
      <c r="G7" s="11" t="n">
        <v>13</v>
      </c>
      <c r="H7" s="11" t="n">
        <v>5</v>
      </c>
    </row>
    <row r="8" customFormat="false" ht="15" hidden="false" customHeight="true" outlineLevel="0" collapsed="false">
      <c r="A8" s="11" t="n">
        <v>2</v>
      </c>
      <c r="B8" s="11" t="s">
        <v>74</v>
      </c>
      <c r="C8" s="11" t="s">
        <v>73</v>
      </c>
      <c r="D8" s="15" t="s">
        <v>58</v>
      </c>
      <c r="E8" s="11" t="n">
        <v>2</v>
      </c>
      <c r="F8" s="15" t="s">
        <v>56</v>
      </c>
      <c r="G8" s="11" t="n">
        <v>12</v>
      </c>
      <c r="H8" s="11" t="n">
        <v>5</v>
      </c>
    </row>
    <row r="9" customFormat="false" ht="15" hidden="false" customHeight="true" outlineLevel="0" collapsed="false">
      <c r="A9" s="11" t="n">
        <v>3</v>
      </c>
      <c r="B9" s="11" t="s">
        <v>75</v>
      </c>
      <c r="C9" s="11" t="s">
        <v>72</v>
      </c>
      <c r="D9" s="15" t="s">
        <v>56</v>
      </c>
      <c r="E9" s="11" t="n">
        <v>20</v>
      </c>
      <c r="F9" s="15" t="s">
        <v>59</v>
      </c>
      <c r="G9" s="11" t="n">
        <v>3</v>
      </c>
      <c r="H9" s="11" t="n">
        <v>4</v>
      </c>
    </row>
    <row r="10" customFormat="false" ht="15" hidden="false" customHeight="true" outlineLevel="0" collapsed="false">
      <c r="A10" s="11" t="n">
        <v>3</v>
      </c>
      <c r="B10" s="11" t="s">
        <v>75</v>
      </c>
      <c r="C10" s="11" t="s">
        <v>73</v>
      </c>
      <c r="D10" s="15" t="s">
        <v>57</v>
      </c>
      <c r="E10" s="11" t="n">
        <v>9</v>
      </c>
      <c r="F10" s="15" t="s">
        <v>60</v>
      </c>
      <c r="G10" s="11" t="n">
        <v>1</v>
      </c>
      <c r="H10" s="11" t="n">
        <v>6</v>
      </c>
    </row>
    <row r="11" customFormat="false" ht="15" hidden="false" customHeight="true" outlineLevel="0" collapsed="false">
      <c r="A11" s="11" t="n">
        <v>4</v>
      </c>
      <c r="B11" s="11" t="s">
        <v>76</v>
      </c>
      <c r="C11" s="11" t="s">
        <v>72</v>
      </c>
      <c r="D11" s="15" t="s">
        <v>57</v>
      </c>
      <c r="E11" s="11" t="n">
        <v>5</v>
      </c>
      <c r="F11" s="15" t="s">
        <v>56</v>
      </c>
      <c r="G11" s="11" t="n">
        <v>6</v>
      </c>
      <c r="H11" s="11" t="n">
        <v>6</v>
      </c>
    </row>
    <row r="12" customFormat="false" ht="15" hidden="false" customHeight="true" outlineLevel="0" collapsed="false">
      <c r="A12" s="11" t="n">
        <v>4</v>
      </c>
      <c r="B12" s="11" t="s">
        <v>76</v>
      </c>
      <c r="C12" s="11" t="s">
        <v>73</v>
      </c>
      <c r="D12" s="15" t="s">
        <v>59</v>
      </c>
      <c r="E12" s="11" t="n">
        <v>13</v>
      </c>
      <c r="F12" s="15" t="s">
        <v>58</v>
      </c>
      <c r="G12" s="11" t="n">
        <v>14</v>
      </c>
      <c r="H12" s="11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9" min="3" style="1" width="6"/>
    <col collapsed="false" customWidth="true" hidden="false" outlineLevel="0" max="10" min="10" style="1" width="8"/>
    <col collapsed="false" customWidth="true" hidden="false" outlineLevel="0" max="13" min="11" style="1" width="6"/>
    <col collapsed="false" customWidth="true" hidden="false" outlineLevel="0" max="14" min="14" style="1" width="8"/>
  </cols>
  <sheetData>
    <row r="1" customFormat="false" ht="19.5" hidden="false" customHeight="true" outlineLevel="0" collapsed="false">
      <c r="A1" s="2" t="s">
        <v>57</v>
      </c>
    </row>
    <row r="2" customFormat="false" ht="15" hidden="false" customHeight="true" outlineLevel="0" collapsed="false">
      <c r="A2" s="9" t="s">
        <v>77</v>
      </c>
    </row>
    <row r="4" customFormat="false" ht="19.5" hidden="false" customHeight="true" outlineLevel="0" collapsed="false">
      <c r="A4" s="16" t="s">
        <v>78</v>
      </c>
      <c r="B4" s="16" t="s">
        <v>49</v>
      </c>
      <c r="C4" s="17" t="s">
        <v>8</v>
      </c>
      <c r="D4" s="17" t="s">
        <v>10</v>
      </c>
      <c r="E4" s="17" t="s">
        <v>12</v>
      </c>
      <c r="F4" s="17" t="s">
        <v>14</v>
      </c>
      <c r="G4" s="17" t="s">
        <v>16</v>
      </c>
      <c r="H4" s="17" t="s">
        <v>18</v>
      </c>
      <c r="I4" s="17" t="s">
        <v>20</v>
      </c>
      <c r="J4" s="17" t="s">
        <v>22</v>
      </c>
      <c r="K4" s="17" t="s">
        <v>24</v>
      </c>
      <c r="L4" s="17" t="s">
        <v>26</v>
      </c>
      <c r="M4" s="17" t="s">
        <v>28</v>
      </c>
      <c r="N4" s="17" t="s">
        <v>30</v>
      </c>
    </row>
    <row r="5" customFormat="false" ht="15" hidden="false" customHeight="true" outlineLevel="0" collapsed="false">
      <c r="A5" s="5" t="s">
        <v>79</v>
      </c>
      <c r="B5" s="5" t="s">
        <v>57</v>
      </c>
      <c r="C5" s="11" t="n">
        <v>2</v>
      </c>
      <c r="D5" s="11" t="n">
        <v>4</v>
      </c>
      <c r="E5" s="11" t="n">
        <v>3</v>
      </c>
      <c r="F5" s="11" t="n">
        <v>2</v>
      </c>
      <c r="G5" s="11" t="n">
        <v>1</v>
      </c>
      <c r="H5" s="11" t="n">
        <v>0</v>
      </c>
      <c r="I5" s="11" t="n">
        <v>4</v>
      </c>
      <c r="J5" s="14" t="n">
        <v>0.75</v>
      </c>
      <c r="K5" s="18"/>
      <c r="L5" s="11"/>
      <c r="M5" s="11"/>
      <c r="N5" s="19"/>
    </row>
    <row r="6" customFormat="false" ht="15" hidden="false" customHeight="true" outlineLevel="0" collapsed="false">
      <c r="A6" s="5" t="s">
        <v>80</v>
      </c>
      <c r="B6" s="5" t="s">
        <v>57</v>
      </c>
      <c r="C6" s="11" t="n">
        <v>3</v>
      </c>
      <c r="D6" s="11" t="n">
        <v>6</v>
      </c>
      <c r="E6" s="11" t="n">
        <v>3</v>
      </c>
      <c r="F6" s="11" t="n">
        <v>1</v>
      </c>
      <c r="G6" s="11" t="n">
        <v>0</v>
      </c>
      <c r="H6" s="11" t="n">
        <v>0</v>
      </c>
      <c r="I6" s="11" t="n">
        <v>4</v>
      </c>
      <c r="J6" s="14" t="n">
        <v>0.6</v>
      </c>
      <c r="K6" s="18"/>
      <c r="L6" s="11"/>
      <c r="M6" s="11"/>
      <c r="N6" s="19"/>
    </row>
    <row r="7" customFormat="false" ht="15" hidden="false" customHeight="true" outlineLevel="0" collapsed="false">
      <c r="A7" s="5" t="s">
        <v>81</v>
      </c>
      <c r="B7" s="5" t="s">
        <v>57</v>
      </c>
      <c r="C7" s="11" t="n">
        <v>3</v>
      </c>
      <c r="D7" s="11" t="n">
        <v>5</v>
      </c>
      <c r="E7" s="11" t="n">
        <v>2</v>
      </c>
      <c r="F7" s="11" t="n">
        <v>1</v>
      </c>
      <c r="G7" s="11" t="n">
        <v>0</v>
      </c>
      <c r="H7" s="11" t="n">
        <v>0</v>
      </c>
      <c r="I7" s="11" t="n">
        <v>4</v>
      </c>
      <c r="J7" s="14" t="n">
        <v>0.4</v>
      </c>
      <c r="K7" s="18"/>
      <c r="L7" s="11"/>
      <c r="M7" s="11"/>
      <c r="N7" s="19"/>
    </row>
    <row r="8" customFormat="false" ht="15" hidden="false" customHeight="true" outlineLevel="0" collapsed="false">
      <c r="A8" s="5" t="s">
        <v>82</v>
      </c>
      <c r="B8" s="5" t="s">
        <v>57</v>
      </c>
      <c r="C8" s="11" t="n">
        <v>2</v>
      </c>
      <c r="D8" s="11" t="n">
        <v>4</v>
      </c>
      <c r="E8" s="11" t="n">
        <v>2</v>
      </c>
      <c r="F8" s="11" t="n">
        <v>0</v>
      </c>
      <c r="G8" s="11" t="n">
        <v>1</v>
      </c>
      <c r="H8" s="11" t="n">
        <v>1</v>
      </c>
      <c r="I8" s="11" t="n">
        <v>3</v>
      </c>
      <c r="J8" s="14" t="n">
        <v>0.667</v>
      </c>
      <c r="K8" s="18"/>
      <c r="L8" s="11"/>
      <c r="M8" s="11"/>
      <c r="N8" s="19"/>
    </row>
    <row r="9" customFormat="false" ht="15" hidden="false" customHeight="true" outlineLevel="0" collapsed="false">
      <c r="A9" s="5" t="s">
        <v>83</v>
      </c>
      <c r="B9" s="5" t="s">
        <v>57</v>
      </c>
      <c r="C9" s="11" t="n">
        <v>3</v>
      </c>
      <c r="D9" s="11" t="n">
        <v>7</v>
      </c>
      <c r="E9" s="11" t="n">
        <v>4</v>
      </c>
      <c r="F9" s="11" t="n">
        <v>0</v>
      </c>
      <c r="G9" s="11" t="n">
        <v>0</v>
      </c>
      <c r="H9" s="11" t="n">
        <v>1</v>
      </c>
      <c r="I9" s="11" t="n">
        <v>2</v>
      </c>
      <c r="J9" s="14" t="n">
        <v>0.667</v>
      </c>
      <c r="K9" s="18"/>
      <c r="L9" s="11"/>
      <c r="M9" s="11"/>
      <c r="N9" s="19"/>
    </row>
    <row r="10" customFormat="false" ht="15" hidden="false" customHeight="true" outlineLevel="0" collapsed="false">
      <c r="A10" s="5" t="s">
        <v>84</v>
      </c>
      <c r="B10" s="5" t="s">
        <v>57</v>
      </c>
      <c r="C10" s="11" t="n">
        <v>2</v>
      </c>
      <c r="D10" s="11" t="n">
        <v>4</v>
      </c>
      <c r="E10" s="11" t="n">
        <v>2</v>
      </c>
      <c r="F10" s="11" t="n">
        <v>1</v>
      </c>
      <c r="G10" s="11" t="n">
        <v>0</v>
      </c>
      <c r="H10" s="11" t="n">
        <v>1</v>
      </c>
      <c r="I10" s="11" t="n">
        <v>2</v>
      </c>
      <c r="J10" s="14" t="n">
        <v>0.667</v>
      </c>
      <c r="K10" s="18"/>
      <c r="L10" s="11"/>
      <c r="M10" s="11"/>
      <c r="N10" s="19"/>
    </row>
    <row r="11" customFormat="false" ht="15" hidden="false" customHeight="true" outlineLevel="0" collapsed="false">
      <c r="A11" s="5" t="s">
        <v>85</v>
      </c>
      <c r="B11" s="5" t="s">
        <v>57</v>
      </c>
      <c r="C11" s="11" t="n">
        <v>3</v>
      </c>
      <c r="D11" s="11" t="n">
        <v>6</v>
      </c>
      <c r="E11" s="11" t="n">
        <v>2</v>
      </c>
      <c r="F11" s="11" t="n">
        <v>1</v>
      </c>
      <c r="G11" s="11" t="n">
        <v>1</v>
      </c>
      <c r="H11" s="11" t="n">
        <v>0</v>
      </c>
      <c r="I11" s="11" t="n">
        <v>2</v>
      </c>
      <c r="J11" s="14" t="n">
        <v>0.4</v>
      </c>
      <c r="K11" s="18"/>
      <c r="L11" s="11"/>
      <c r="M11" s="11"/>
      <c r="N11" s="19"/>
    </row>
    <row r="12" customFormat="false" ht="15" hidden="false" customHeight="true" outlineLevel="0" collapsed="false">
      <c r="A12" s="5" t="s">
        <v>86</v>
      </c>
      <c r="B12" s="5" t="s">
        <v>57</v>
      </c>
      <c r="C12" s="11" t="n">
        <v>3</v>
      </c>
      <c r="D12" s="11" t="n">
        <v>4</v>
      </c>
      <c r="E12" s="11" t="n">
        <v>2</v>
      </c>
      <c r="F12" s="11" t="n">
        <v>1</v>
      </c>
      <c r="G12" s="11" t="n">
        <v>0</v>
      </c>
      <c r="H12" s="11" t="n">
        <v>0</v>
      </c>
      <c r="I12" s="11" t="n">
        <v>2</v>
      </c>
      <c r="J12" s="14" t="n">
        <v>0.667</v>
      </c>
      <c r="K12" s="18"/>
      <c r="L12" s="11"/>
      <c r="M12" s="11"/>
      <c r="N12" s="19"/>
    </row>
    <row r="13" customFormat="false" ht="15" hidden="false" customHeight="true" outlineLevel="0" collapsed="false">
      <c r="A13" s="5" t="s">
        <v>87</v>
      </c>
      <c r="B13" s="5" t="s">
        <v>57</v>
      </c>
      <c r="C13" s="11" t="n">
        <v>3</v>
      </c>
      <c r="D13" s="11" t="n">
        <v>6</v>
      </c>
      <c r="E13" s="11" t="n">
        <v>2</v>
      </c>
      <c r="F13" s="11" t="n">
        <v>0</v>
      </c>
      <c r="G13" s="11" t="n">
        <v>0</v>
      </c>
      <c r="H13" s="11" t="n">
        <v>0</v>
      </c>
      <c r="I13" s="11" t="n">
        <v>2</v>
      </c>
      <c r="J13" s="14" t="n">
        <v>0.333</v>
      </c>
      <c r="K13" s="18"/>
      <c r="L13" s="11"/>
      <c r="M13" s="11"/>
      <c r="N13" s="19"/>
    </row>
    <row r="14" customFormat="false" ht="15" hidden="false" customHeight="true" outlineLevel="0" collapsed="false">
      <c r="A14" s="5" t="s">
        <v>88</v>
      </c>
      <c r="B14" s="5" t="s">
        <v>57</v>
      </c>
      <c r="C14" s="11" t="n">
        <v>3</v>
      </c>
      <c r="D14" s="11" t="n">
        <v>7</v>
      </c>
      <c r="E14" s="11" t="n">
        <v>3</v>
      </c>
      <c r="F14" s="11" t="n">
        <v>2</v>
      </c>
      <c r="G14" s="11" t="n">
        <v>0</v>
      </c>
      <c r="H14" s="11" t="n">
        <v>0</v>
      </c>
      <c r="I14" s="11" t="n">
        <v>1</v>
      </c>
      <c r="J14" s="14" t="n">
        <v>0.429</v>
      </c>
      <c r="K14" s="18"/>
      <c r="L14" s="11"/>
      <c r="M14" s="11"/>
      <c r="N14" s="19"/>
    </row>
    <row r="15" customFormat="false" ht="15" hidden="false" customHeight="true" outlineLevel="0" collapsed="false">
      <c r="A15" s="5" t="s">
        <v>89</v>
      </c>
      <c r="B15" s="5" t="s">
        <v>57</v>
      </c>
      <c r="C15" s="11" t="n">
        <v>3</v>
      </c>
      <c r="D15" s="11" t="n">
        <v>6</v>
      </c>
      <c r="E15" s="11" t="n">
        <v>3</v>
      </c>
      <c r="F15" s="11" t="n">
        <v>1</v>
      </c>
      <c r="G15" s="11" t="n">
        <v>0</v>
      </c>
      <c r="H15" s="11" t="n">
        <v>0</v>
      </c>
      <c r="I15" s="11" t="n">
        <v>1</v>
      </c>
      <c r="J15" s="14" t="n">
        <v>0.6</v>
      </c>
      <c r="K15" s="18"/>
      <c r="L15" s="11"/>
      <c r="M15" s="11"/>
      <c r="N15" s="19"/>
    </row>
    <row r="16" customFormat="false" ht="15" hidden="false" customHeight="true" outlineLevel="0" collapsed="false">
      <c r="A16" s="5" t="s">
        <v>90</v>
      </c>
      <c r="B16" s="5" t="s">
        <v>57</v>
      </c>
      <c r="C16" s="11" t="n">
        <v>3</v>
      </c>
      <c r="D16" s="11" t="n">
        <v>7</v>
      </c>
      <c r="E16" s="11" t="n">
        <v>3</v>
      </c>
      <c r="F16" s="11" t="n">
        <v>1</v>
      </c>
      <c r="G16" s="11" t="n">
        <v>0</v>
      </c>
      <c r="H16" s="11" t="n">
        <v>0</v>
      </c>
      <c r="I16" s="11" t="n">
        <v>1</v>
      </c>
      <c r="J16" s="14" t="n">
        <v>0.6</v>
      </c>
      <c r="K16" s="18"/>
      <c r="L16" s="11"/>
      <c r="M16" s="11"/>
      <c r="N16" s="19"/>
    </row>
    <row r="17" customFormat="false" ht="15" hidden="false" customHeight="true" outlineLevel="0" collapsed="false">
      <c r="A17" s="5" t="s">
        <v>91</v>
      </c>
      <c r="B17" s="5" t="s">
        <v>57</v>
      </c>
      <c r="C17" s="11" t="n">
        <v>3</v>
      </c>
      <c r="D17" s="11" t="n">
        <v>7</v>
      </c>
      <c r="E17" s="11" t="n">
        <v>2</v>
      </c>
      <c r="F17" s="11" t="n">
        <v>2</v>
      </c>
      <c r="G17" s="11" t="n">
        <v>0</v>
      </c>
      <c r="H17" s="11" t="n">
        <v>0</v>
      </c>
      <c r="I17" s="11" t="n">
        <v>1</v>
      </c>
      <c r="J17" s="14" t="n">
        <v>0.333</v>
      </c>
      <c r="K17" s="18"/>
      <c r="L17" s="11"/>
      <c r="M17" s="11"/>
      <c r="N17" s="19"/>
    </row>
    <row r="18" customFormat="false" ht="15" hidden="false" customHeight="true" outlineLevel="0" collapsed="false">
      <c r="A18" s="5" t="s">
        <v>92</v>
      </c>
      <c r="B18" s="5" t="s">
        <v>57</v>
      </c>
      <c r="C18" s="11" t="n">
        <v>3</v>
      </c>
      <c r="D18" s="11" t="n">
        <v>6</v>
      </c>
      <c r="E18" s="11" t="n">
        <v>2</v>
      </c>
      <c r="F18" s="11" t="n">
        <v>1</v>
      </c>
      <c r="G18" s="11" t="n">
        <v>0</v>
      </c>
      <c r="H18" s="11" t="n">
        <v>0</v>
      </c>
      <c r="I18" s="11" t="n">
        <v>1</v>
      </c>
      <c r="J18" s="14" t="n">
        <v>0.333</v>
      </c>
      <c r="K18" s="18"/>
      <c r="L18" s="11"/>
      <c r="M18" s="11"/>
      <c r="N18" s="19"/>
    </row>
    <row r="19" customFormat="false" ht="15" hidden="false" customHeight="true" outlineLevel="0" collapsed="false">
      <c r="A19" s="5" t="s">
        <v>93</v>
      </c>
      <c r="B19" s="5" t="s">
        <v>57</v>
      </c>
      <c r="C19" s="11" t="n">
        <v>3</v>
      </c>
      <c r="D19" s="11" t="n">
        <v>7</v>
      </c>
      <c r="E19" s="11" t="n">
        <v>2</v>
      </c>
      <c r="F19" s="11" t="n">
        <v>0</v>
      </c>
      <c r="G19" s="11" t="n">
        <v>0</v>
      </c>
      <c r="H19" s="11" t="n">
        <v>0</v>
      </c>
      <c r="I19" s="11" t="n">
        <v>0</v>
      </c>
      <c r="J19" s="14" t="n">
        <v>0.333</v>
      </c>
      <c r="K19" s="18"/>
      <c r="L19" s="11"/>
      <c r="M19" s="11"/>
      <c r="N19" s="19"/>
    </row>
    <row r="20" customFormat="false" ht="15" hidden="false" customHeight="true" outlineLevel="0" collapsed="false">
      <c r="A20" s="5" t="s">
        <v>94</v>
      </c>
      <c r="B20" s="5" t="s">
        <v>57</v>
      </c>
      <c r="C20" s="11" t="n">
        <v>2</v>
      </c>
      <c r="D20" s="11" t="n">
        <v>3</v>
      </c>
      <c r="E20" s="11" t="n">
        <v>1</v>
      </c>
      <c r="F20" s="11" t="n">
        <v>0</v>
      </c>
      <c r="G20" s="11" t="n">
        <v>0</v>
      </c>
      <c r="H20" s="11" t="n">
        <v>0</v>
      </c>
      <c r="I20" s="11" t="n">
        <v>0</v>
      </c>
      <c r="J20" s="14" t="n">
        <v>0.333</v>
      </c>
      <c r="K20" s="18"/>
      <c r="L20" s="11"/>
      <c r="M20" s="11"/>
      <c r="N20" s="19"/>
    </row>
    <row r="21" customFormat="false" ht="15" hidden="false" customHeight="true" outlineLevel="0" collapsed="false">
      <c r="A21" s="5" t="s">
        <v>95</v>
      </c>
      <c r="B21" s="5" t="s">
        <v>57</v>
      </c>
      <c r="C21" s="11" t="n">
        <v>3</v>
      </c>
      <c r="D21" s="11" t="n">
        <v>5</v>
      </c>
      <c r="E21" s="11" t="n">
        <v>1</v>
      </c>
      <c r="F21" s="11" t="n">
        <v>0</v>
      </c>
      <c r="G21" s="11" t="n">
        <v>0</v>
      </c>
      <c r="H21" s="11" t="n">
        <v>0</v>
      </c>
      <c r="I21" s="11" t="n">
        <v>0</v>
      </c>
      <c r="J21" s="14" t="n">
        <v>0.333</v>
      </c>
      <c r="K21" s="18" t="n">
        <v>9</v>
      </c>
      <c r="L21" s="11" t="n">
        <v>2</v>
      </c>
      <c r="M21" s="11" t="n">
        <v>6</v>
      </c>
      <c r="N21" s="19" t="n">
        <v>1.56</v>
      </c>
    </row>
    <row r="22" customFormat="false" ht="15" hidden="false" customHeight="true" outlineLevel="0" collapsed="false">
      <c r="A22" s="5" t="s">
        <v>96</v>
      </c>
      <c r="B22" s="5" t="s">
        <v>57</v>
      </c>
      <c r="C22" s="11" t="n">
        <v>2</v>
      </c>
      <c r="D22" s="11" t="n">
        <v>3</v>
      </c>
      <c r="E22" s="11" t="n">
        <v>1</v>
      </c>
      <c r="F22" s="11" t="n">
        <v>0</v>
      </c>
      <c r="G22" s="11" t="n">
        <v>0</v>
      </c>
      <c r="H22" s="11" t="n">
        <v>0</v>
      </c>
      <c r="I22" s="11" t="n">
        <v>0</v>
      </c>
      <c r="J22" s="14" t="n">
        <v>0.5</v>
      </c>
      <c r="K22" s="18"/>
      <c r="L22" s="11"/>
      <c r="M22" s="11"/>
      <c r="N22" s="19"/>
    </row>
    <row r="23" customFormat="false" ht="15" hidden="false" customHeight="true" outlineLevel="0" collapsed="false">
      <c r="A23" s="5" t="s">
        <v>97</v>
      </c>
      <c r="B23" s="5" t="s">
        <v>57</v>
      </c>
      <c r="C23" s="11" t="n">
        <v>1</v>
      </c>
      <c r="D23" s="11" t="n">
        <v>1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4" t="n">
        <v>0</v>
      </c>
      <c r="K23" s="18"/>
      <c r="L23" s="11"/>
      <c r="M23" s="11"/>
      <c r="N23" s="19"/>
    </row>
    <row r="24" customFormat="false" ht="15" hidden="false" customHeight="true" outlineLevel="0" collapsed="false">
      <c r="A24" s="5" t="s">
        <v>98</v>
      </c>
      <c r="B24" s="5" t="s">
        <v>57</v>
      </c>
      <c r="C24" s="11" t="n">
        <v>1</v>
      </c>
      <c r="D24" s="11" t="n">
        <v>2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4" t="n">
        <v>0</v>
      </c>
      <c r="K24" s="18" t="n">
        <v>5.2</v>
      </c>
      <c r="L24" s="11" t="n">
        <v>0</v>
      </c>
      <c r="M24" s="11" t="n">
        <v>1</v>
      </c>
      <c r="N24" s="19" t="n">
        <v>6.18</v>
      </c>
    </row>
  </sheetData>
  <autoFilter ref="A4:N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9" min="3" style="1" width="6"/>
    <col collapsed="false" customWidth="true" hidden="false" outlineLevel="0" max="10" min="10" style="1" width="8"/>
    <col collapsed="false" customWidth="true" hidden="false" outlineLevel="0" max="13" min="11" style="1" width="6"/>
    <col collapsed="false" customWidth="true" hidden="false" outlineLevel="0" max="14" min="14" style="1" width="8"/>
  </cols>
  <sheetData>
    <row r="1" customFormat="false" ht="19.5" hidden="false" customHeight="true" outlineLevel="0" collapsed="false">
      <c r="A1" s="2" t="s">
        <v>58</v>
      </c>
    </row>
    <row r="2" customFormat="false" ht="15" hidden="false" customHeight="true" outlineLevel="0" collapsed="false">
      <c r="A2" s="9" t="s">
        <v>77</v>
      </c>
    </row>
    <row r="4" customFormat="false" ht="19.5" hidden="false" customHeight="true" outlineLevel="0" collapsed="false">
      <c r="A4" s="16" t="s">
        <v>78</v>
      </c>
      <c r="B4" s="16" t="s">
        <v>49</v>
      </c>
      <c r="C4" s="17" t="s">
        <v>8</v>
      </c>
      <c r="D4" s="17" t="s">
        <v>10</v>
      </c>
      <c r="E4" s="17" t="s">
        <v>12</v>
      </c>
      <c r="F4" s="17" t="s">
        <v>14</v>
      </c>
      <c r="G4" s="17" t="s">
        <v>16</v>
      </c>
      <c r="H4" s="17" t="s">
        <v>18</v>
      </c>
      <c r="I4" s="17" t="s">
        <v>20</v>
      </c>
      <c r="J4" s="17" t="s">
        <v>22</v>
      </c>
      <c r="K4" s="17" t="s">
        <v>24</v>
      </c>
      <c r="L4" s="17" t="s">
        <v>26</v>
      </c>
      <c r="M4" s="17" t="s">
        <v>28</v>
      </c>
      <c r="N4" s="17" t="s">
        <v>30</v>
      </c>
    </row>
    <row r="5" customFormat="false" ht="15" hidden="false" customHeight="true" outlineLevel="0" collapsed="false">
      <c r="A5" s="5" t="s">
        <v>99</v>
      </c>
      <c r="B5" s="5" t="s">
        <v>58</v>
      </c>
      <c r="C5" s="11" t="n">
        <v>2</v>
      </c>
      <c r="D5" s="11" t="n">
        <v>5</v>
      </c>
      <c r="E5" s="11" t="n">
        <v>3</v>
      </c>
      <c r="F5" s="11" t="n">
        <v>1</v>
      </c>
      <c r="G5" s="11" t="n">
        <v>2</v>
      </c>
      <c r="H5" s="11" t="n">
        <v>0</v>
      </c>
      <c r="I5" s="11" t="n">
        <v>4</v>
      </c>
      <c r="J5" s="14" t="n">
        <v>0.75</v>
      </c>
      <c r="K5" s="18"/>
      <c r="L5" s="11"/>
      <c r="M5" s="11"/>
      <c r="N5" s="19"/>
    </row>
    <row r="6" customFormat="false" ht="15" hidden="false" customHeight="true" outlineLevel="0" collapsed="false">
      <c r="A6" s="5" t="s">
        <v>100</v>
      </c>
      <c r="B6" s="5" t="s">
        <v>58</v>
      </c>
      <c r="C6" s="11" t="n">
        <v>3</v>
      </c>
      <c r="D6" s="11" t="n">
        <v>6</v>
      </c>
      <c r="E6" s="11" t="n">
        <v>3</v>
      </c>
      <c r="F6" s="11" t="n">
        <v>2</v>
      </c>
      <c r="G6" s="11" t="n">
        <v>0</v>
      </c>
      <c r="H6" s="11" t="n">
        <v>0</v>
      </c>
      <c r="I6" s="11" t="n">
        <v>4</v>
      </c>
      <c r="J6" s="14" t="n">
        <v>0.5</v>
      </c>
      <c r="K6" s="18"/>
      <c r="L6" s="11"/>
      <c r="M6" s="11"/>
      <c r="N6" s="19"/>
    </row>
    <row r="7" customFormat="false" ht="15" hidden="false" customHeight="true" outlineLevel="0" collapsed="false">
      <c r="A7" s="5" t="s">
        <v>101</v>
      </c>
      <c r="B7" s="5" t="s">
        <v>58</v>
      </c>
      <c r="C7" s="11" t="n">
        <v>2</v>
      </c>
      <c r="D7" s="11" t="n">
        <v>5</v>
      </c>
      <c r="E7" s="11" t="n">
        <v>2</v>
      </c>
      <c r="F7" s="11" t="n">
        <v>0</v>
      </c>
      <c r="G7" s="11" t="n">
        <v>0</v>
      </c>
      <c r="H7" s="11" t="n">
        <v>0</v>
      </c>
      <c r="I7" s="11" t="n">
        <v>4</v>
      </c>
      <c r="J7" s="14" t="n">
        <v>0.4</v>
      </c>
      <c r="K7" s="18" t="n">
        <v>0.1</v>
      </c>
      <c r="L7" s="11" t="n">
        <v>0</v>
      </c>
      <c r="M7" s="11" t="n">
        <v>0</v>
      </c>
      <c r="N7" s="19" t="n">
        <v>42</v>
      </c>
    </row>
    <row r="8" customFormat="false" ht="15" hidden="false" customHeight="true" outlineLevel="0" collapsed="false">
      <c r="A8" s="5" t="s">
        <v>102</v>
      </c>
      <c r="B8" s="5" t="s">
        <v>58</v>
      </c>
      <c r="C8" s="11" t="n">
        <v>1</v>
      </c>
      <c r="D8" s="11" t="n">
        <v>2</v>
      </c>
      <c r="E8" s="11" t="n">
        <v>2</v>
      </c>
      <c r="F8" s="11" t="n">
        <v>1</v>
      </c>
      <c r="G8" s="11" t="n">
        <v>0</v>
      </c>
      <c r="H8" s="11" t="n">
        <v>0</v>
      </c>
      <c r="I8" s="11" t="n">
        <v>3</v>
      </c>
      <c r="J8" s="14" t="n">
        <v>1</v>
      </c>
      <c r="K8" s="18" t="n">
        <v>1</v>
      </c>
      <c r="L8" s="11" t="n">
        <v>0</v>
      </c>
      <c r="M8" s="11" t="n">
        <v>0</v>
      </c>
      <c r="N8" s="19" t="n">
        <v>0</v>
      </c>
    </row>
    <row r="9" customFormat="false" ht="15" hidden="false" customHeight="true" outlineLevel="0" collapsed="false">
      <c r="A9" s="5" t="s">
        <v>103</v>
      </c>
      <c r="B9" s="5" t="s">
        <v>58</v>
      </c>
      <c r="C9" s="11" t="n">
        <v>3</v>
      </c>
      <c r="D9" s="11" t="n">
        <v>5</v>
      </c>
      <c r="E9" s="11" t="n">
        <v>1</v>
      </c>
      <c r="F9" s="11" t="n">
        <v>0</v>
      </c>
      <c r="G9" s="11" t="n">
        <v>0</v>
      </c>
      <c r="H9" s="11" t="n">
        <v>0</v>
      </c>
      <c r="I9" s="11" t="n">
        <v>3</v>
      </c>
      <c r="J9" s="14" t="n">
        <v>0.25</v>
      </c>
      <c r="K9" s="18" t="n">
        <v>5.1</v>
      </c>
      <c r="L9" s="11" t="n">
        <v>1</v>
      </c>
      <c r="M9" s="11" t="n">
        <v>0</v>
      </c>
      <c r="N9" s="19" t="n">
        <v>22.31</v>
      </c>
    </row>
    <row r="10" customFormat="false" ht="15" hidden="false" customHeight="true" outlineLevel="0" collapsed="false">
      <c r="A10" s="5" t="s">
        <v>104</v>
      </c>
      <c r="B10" s="5" t="s">
        <v>58</v>
      </c>
      <c r="C10" s="11" t="n">
        <v>3</v>
      </c>
      <c r="D10" s="11" t="n">
        <v>6</v>
      </c>
      <c r="E10" s="11" t="n">
        <v>3</v>
      </c>
      <c r="F10" s="11" t="n">
        <v>0</v>
      </c>
      <c r="G10" s="11" t="n">
        <v>0</v>
      </c>
      <c r="H10" s="11" t="n">
        <v>0</v>
      </c>
      <c r="I10" s="11" t="n">
        <v>2</v>
      </c>
      <c r="J10" s="14" t="n">
        <v>0.6</v>
      </c>
      <c r="K10" s="18"/>
      <c r="L10" s="11"/>
      <c r="M10" s="11"/>
      <c r="N10" s="19"/>
    </row>
    <row r="11" customFormat="false" ht="15" hidden="false" customHeight="true" outlineLevel="0" collapsed="false">
      <c r="A11" s="5" t="s">
        <v>105</v>
      </c>
      <c r="B11" s="5" t="s">
        <v>58</v>
      </c>
      <c r="C11" s="11" t="n">
        <v>3</v>
      </c>
      <c r="D11" s="11" t="n">
        <v>5</v>
      </c>
      <c r="E11" s="11" t="n">
        <v>2</v>
      </c>
      <c r="F11" s="11" t="n">
        <v>1</v>
      </c>
      <c r="G11" s="11" t="n">
        <v>0</v>
      </c>
      <c r="H11" s="11" t="n">
        <v>0</v>
      </c>
      <c r="I11" s="11" t="n">
        <v>2</v>
      </c>
      <c r="J11" s="14" t="n">
        <v>0.5</v>
      </c>
      <c r="K11" s="18" t="n">
        <v>7.2</v>
      </c>
      <c r="L11" s="11" t="n">
        <v>1</v>
      </c>
      <c r="M11" s="11" t="n">
        <v>4</v>
      </c>
      <c r="N11" s="19" t="n">
        <v>5.48</v>
      </c>
    </row>
    <row r="12" customFormat="false" ht="15" hidden="false" customHeight="true" outlineLevel="0" collapsed="false">
      <c r="A12" s="5" t="s">
        <v>106</v>
      </c>
      <c r="B12" s="5" t="s">
        <v>58</v>
      </c>
      <c r="C12" s="11" t="n">
        <v>2</v>
      </c>
      <c r="D12" s="11" t="n">
        <v>4</v>
      </c>
      <c r="E12" s="11" t="n">
        <v>4</v>
      </c>
      <c r="F12" s="11" t="n">
        <v>0</v>
      </c>
      <c r="G12" s="11" t="n">
        <v>0</v>
      </c>
      <c r="H12" s="11" t="n">
        <v>0</v>
      </c>
      <c r="I12" s="11" t="n">
        <v>1</v>
      </c>
      <c r="J12" s="14" t="n">
        <v>1</v>
      </c>
      <c r="K12" s="18"/>
      <c r="L12" s="11"/>
      <c r="M12" s="11"/>
      <c r="N12" s="19"/>
    </row>
    <row r="13" customFormat="false" ht="15" hidden="false" customHeight="true" outlineLevel="0" collapsed="false">
      <c r="A13" s="5" t="s">
        <v>107</v>
      </c>
      <c r="B13" s="5" t="s">
        <v>58</v>
      </c>
      <c r="C13" s="11" t="n">
        <v>2</v>
      </c>
      <c r="D13" s="11" t="n">
        <v>4</v>
      </c>
      <c r="E13" s="11" t="n">
        <v>3</v>
      </c>
      <c r="F13" s="11" t="n">
        <v>0</v>
      </c>
      <c r="G13" s="11" t="n">
        <v>0</v>
      </c>
      <c r="H13" s="11" t="n">
        <v>0</v>
      </c>
      <c r="I13" s="11" t="n">
        <v>1</v>
      </c>
      <c r="J13" s="14" t="n">
        <v>0.75</v>
      </c>
      <c r="K13" s="18"/>
      <c r="L13" s="11"/>
      <c r="M13" s="11"/>
      <c r="N13" s="19"/>
    </row>
    <row r="14" customFormat="false" ht="15" hidden="false" customHeight="true" outlineLevel="0" collapsed="false">
      <c r="A14" s="5" t="s">
        <v>108</v>
      </c>
      <c r="B14" s="5" t="s">
        <v>58</v>
      </c>
      <c r="C14" s="11" t="n">
        <v>3</v>
      </c>
      <c r="D14" s="11" t="n">
        <v>7</v>
      </c>
      <c r="E14" s="11" t="n">
        <v>3</v>
      </c>
      <c r="F14" s="11" t="n">
        <v>0</v>
      </c>
      <c r="G14" s="11" t="n">
        <v>0</v>
      </c>
      <c r="H14" s="11" t="n">
        <v>0</v>
      </c>
      <c r="I14" s="11" t="n">
        <v>1</v>
      </c>
      <c r="J14" s="14" t="n">
        <v>0.429</v>
      </c>
      <c r="K14" s="18"/>
      <c r="L14" s="11"/>
      <c r="M14" s="11"/>
      <c r="N14" s="19"/>
    </row>
    <row r="15" customFormat="false" ht="15" hidden="false" customHeight="true" outlineLevel="0" collapsed="false">
      <c r="A15" s="5" t="s">
        <v>109</v>
      </c>
      <c r="B15" s="5" t="s">
        <v>58</v>
      </c>
      <c r="C15" s="11" t="n">
        <v>3</v>
      </c>
      <c r="D15" s="11" t="n">
        <v>7</v>
      </c>
      <c r="E15" s="11" t="n">
        <v>3</v>
      </c>
      <c r="F15" s="11" t="n">
        <v>0</v>
      </c>
      <c r="G15" s="11" t="n">
        <v>0</v>
      </c>
      <c r="H15" s="11" t="n">
        <v>1</v>
      </c>
      <c r="I15" s="11" t="n">
        <v>1</v>
      </c>
      <c r="J15" s="14" t="n">
        <v>0.429</v>
      </c>
      <c r="K15" s="18"/>
      <c r="L15" s="11"/>
      <c r="M15" s="11"/>
      <c r="N15" s="19"/>
    </row>
    <row r="16" customFormat="false" ht="15" hidden="false" customHeight="true" outlineLevel="0" collapsed="false">
      <c r="A16" s="5" t="s">
        <v>110</v>
      </c>
      <c r="B16" s="5" t="s">
        <v>58</v>
      </c>
      <c r="C16" s="11" t="n">
        <v>2</v>
      </c>
      <c r="D16" s="11" t="n">
        <v>4</v>
      </c>
      <c r="E16" s="11" t="n">
        <v>2</v>
      </c>
      <c r="F16" s="11" t="n">
        <v>0</v>
      </c>
      <c r="G16" s="11" t="n">
        <v>0</v>
      </c>
      <c r="H16" s="11" t="n">
        <v>0</v>
      </c>
      <c r="I16" s="11" t="n">
        <v>1</v>
      </c>
      <c r="J16" s="14" t="n">
        <v>0.5</v>
      </c>
      <c r="K16" s="18"/>
      <c r="L16" s="11"/>
      <c r="M16" s="11"/>
      <c r="N16" s="19"/>
    </row>
    <row r="17" customFormat="false" ht="15" hidden="false" customHeight="true" outlineLevel="0" collapsed="false">
      <c r="A17" s="5" t="s">
        <v>111</v>
      </c>
      <c r="B17" s="5" t="s">
        <v>58</v>
      </c>
      <c r="C17" s="11" t="n">
        <v>2</v>
      </c>
      <c r="D17" s="11" t="n">
        <v>5</v>
      </c>
      <c r="E17" s="11" t="n">
        <v>1</v>
      </c>
      <c r="F17" s="11" t="n">
        <v>0</v>
      </c>
      <c r="G17" s="11" t="n">
        <v>0</v>
      </c>
      <c r="H17" s="11" t="n">
        <v>0</v>
      </c>
      <c r="I17" s="11" t="n">
        <v>1</v>
      </c>
      <c r="J17" s="14" t="n">
        <v>0.2</v>
      </c>
      <c r="K17" s="18"/>
      <c r="L17" s="11"/>
      <c r="M17" s="11"/>
      <c r="N17" s="19"/>
    </row>
    <row r="18" customFormat="false" ht="15" hidden="false" customHeight="true" outlineLevel="0" collapsed="false">
      <c r="A18" s="5" t="s">
        <v>112</v>
      </c>
      <c r="B18" s="5" t="s">
        <v>58</v>
      </c>
      <c r="C18" s="11" t="n">
        <v>1</v>
      </c>
      <c r="D18" s="11" t="n">
        <v>3</v>
      </c>
      <c r="E18" s="11" t="n">
        <v>1</v>
      </c>
      <c r="F18" s="11" t="n">
        <v>0</v>
      </c>
      <c r="G18" s="11" t="n">
        <v>1</v>
      </c>
      <c r="H18" s="11" t="n">
        <v>0</v>
      </c>
      <c r="I18" s="11" t="n">
        <v>1</v>
      </c>
      <c r="J18" s="14" t="n">
        <v>0.333</v>
      </c>
      <c r="K18" s="18"/>
      <c r="L18" s="11"/>
      <c r="M18" s="11"/>
      <c r="N18" s="19"/>
    </row>
    <row r="19" customFormat="false" ht="15" hidden="false" customHeight="true" outlineLevel="0" collapsed="false">
      <c r="A19" s="5" t="s">
        <v>113</v>
      </c>
      <c r="B19" s="5" t="s">
        <v>58</v>
      </c>
      <c r="C19" s="11" t="n">
        <v>1</v>
      </c>
      <c r="D19" s="11" t="n">
        <v>3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1</v>
      </c>
      <c r="J19" s="14" t="n">
        <v>0</v>
      </c>
      <c r="K19" s="18"/>
      <c r="L19" s="11"/>
      <c r="M19" s="11"/>
      <c r="N19" s="19"/>
    </row>
    <row r="20" customFormat="false" ht="15" hidden="false" customHeight="true" outlineLevel="0" collapsed="false">
      <c r="A20" s="5" t="s">
        <v>114</v>
      </c>
      <c r="B20" s="5" t="s">
        <v>58</v>
      </c>
      <c r="C20" s="11" t="n">
        <v>3</v>
      </c>
      <c r="D20" s="11" t="n">
        <v>6</v>
      </c>
      <c r="E20" s="11" t="n">
        <v>2</v>
      </c>
      <c r="F20" s="11" t="n">
        <v>1</v>
      </c>
      <c r="G20" s="11" t="n">
        <v>0</v>
      </c>
      <c r="H20" s="11" t="n">
        <v>0</v>
      </c>
      <c r="I20" s="11" t="n">
        <v>0</v>
      </c>
      <c r="J20" s="14" t="n">
        <v>0.4</v>
      </c>
      <c r="K20" s="18"/>
      <c r="L20" s="11"/>
      <c r="M20" s="11"/>
      <c r="N20" s="19"/>
    </row>
    <row r="21" customFormat="false" ht="15" hidden="false" customHeight="true" outlineLevel="0" collapsed="false">
      <c r="A21" s="5" t="s">
        <v>115</v>
      </c>
      <c r="B21" s="5" t="s">
        <v>58</v>
      </c>
      <c r="C21" s="11" t="n">
        <v>3</v>
      </c>
      <c r="D21" s="11" t="n">
        <v>6</v>
      </c>
      <c r="E21" s="11" t="n">
        <v>1</v>
      </c>
      <c r="F21" s="11" t="n">
        <v>0</v>
      </c>
      <c r="G21" s="11" t="n">
        <v>0</v>
      </c>
      <c r="H21" s="11" t="n">
        <v>0</v>
      </c>
      <c r="I21" s="11" t="n">
        <v>0</v>
      </c>
      <c r="J21" s="14" t="n">
        <v>0.2</v>
      </c>
      <c r="K21" s="18"/>
      <c r="L21" s="11"/>
      <c r="M21" s="11"/>
      <c r="N21" s="19"/>
    </row>
    <row r="22" customFormat="false" ht="15" hidden="false" customHeight="true" outlineLevel="0" collapsed="false">
      <c r="A22" s="5" t="s">
        <v>116</v>
      </c>
      <c r="B22" s="5" t="s">
        <v>58</v>
      </c>
      <c r="C22" s="11" t="n">
        <v>2</v>
      </c>
      <c r="D22" s="11" t="n">
        <v>4</v>
      </c>
      <c r="E22" s="11" t="n">
        <v>1</v>
      </c>
      <c r="F22" s="11" t="n">
        <v>0</v>
      </c>
      <c r="G22" s="11" t="n">
        <v>0</v>
      </c>
      <c r="H22" s="11" t="n">
        <v>0</v>
      </c>
      <c r="I22" s="11" t="n">
        <v>0</v>
      </c>
      <c r="J22" s="14" t="n">
        <v>0.333</v>
      </c>
      <c r="K22" s="18"/>
      <c r="L22" s="11"/>
      <c r="M22" s="11"/>
      <c r="N22" s="19"/>
    </row>
    <row r="23" customFormat="false" ht="15" hidden="false" customHeight="true" outlineLevel="0" collapsed="false">
      <c r="A23" s="5" t="s">
        <v>117</v>
      </c>
      <c r="B23" s="5" t="s">
        <v>58</v>
      </c>
      <c r="C23" s="11" t="n">
        <v>2</v>
      </c>
      <c r="D23" s="11" t="n">
        <v>4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4" t="n">
        <v>0</v>
      </c>
      <c r="K23" s="18"/>
      <c r="L23" s="11"/>
      <c r="M23" s="11"/>
      <c r="N23" s="19"/>
    </row>
    <row r="24" customFormat="false" ht="15" hidden="false" customHeight="true" outlineLevel="0" collapsed="false">
      <c r="A24" s="5"/>
      <c r="B24" s="5"/>
      <c r="C24" s="11"/>
      <c r="D24" s="11"/>
      <c r="E24" s="11"/>
      <c r="F24" s="11"/>
      <c r="G24" s="11"/>
      <c r="H24" s="11"/>
      <c r="I24" s="11"/>
      <c r="J24" s="14"/>
      <c r="K24" s="18"/>
      <c r="L24" s="11"/>
      <c r="M24" s="11"/>
      <c r="N24" s="19"/>
    </row>
  </sheetData>
  <autoFilter ref="A4:N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9" min="3" style="1" width="6"/>
    <col collapsed="false" customWidth="true" hidden="false" outlineLevel="0" max="10" min="10" style="1" width="8"/>
    <col collapsed="false" customWidth="true" hidden="false" outlineLevel="0" max="13" min="11" style="1" width="6"/>
    <col collapsed="false" customWidth="true" hidden="false" outlineLevel="0" max="14" min="14" style="1" width="8"/>
  </cols>
  <sheetData>
    <row r="1" customFormat="false" ht="19.5" hidden="false" customHeight="true" outlineLevel="0" collapsed="false">
      <c r="A1" s="2" t="s">
        <v>60</v>
      </c>
    </row>
    <row r="2" customFormat="false" ht="15" hidden="false" customHeight="true" outlineLevel="0" collapsed="false">
      <c r="A2" s="9" t="s">
        <v>77</v>
      </c>
    </row>
    <row r="4" customFormat="false" ht="19.5" hidden="false" customHeight="true" outlineLevel="0" collapsed="false">
      <c r="A4" s="16" t="s">
        <v>78</v>
      </c>
      <c r="B4" s="16" t="s">
        <v>49</v>
      </c>
      <c r="C4" s="17" t="s">
        <v>8</v>
      </c>
      <c r="D4" s="17" t="s">
        <v>10</v>
      </c>
      <c r="E4" s="17" t="s">
        <v>12</v>
      </c>
      <c r="F4" s="17" t="s">
        <v>14</v>
      </c>
      <c r="G4" s="17" t="s">
        <v>16</v>
      </c>
      <c r="H4" s="17" t="s">
        <v>18</v>
      </c>
      <c r="I4" s="17" t="s">
        <v>20</v>
      </c>
      <c r="J4" s="17" t="s">
        <v>22</v>
      </c>
      <c r="K4" s="17" t="s">
        <v>24</v>
      </c>
      <c r="L4" s="17" t="s">
        <v>26</v>
      </c>
      <c r="M4" s="17" t="s">
        <v>28</v>
      </c>
      <c r="N4" s="17" t="s">
        <v>30</v>
      </c>
    </row>
    <row r="5" customFormat="false" ht="15" hidden="false" customHeight="true" outlineLevel="0" collapsed="false">
      <c r="A5" s="5" t="s">
        <v>118</v>
      </c>
      <c r="B5" s="5" t="s">
        <v>60</v>
      </c>
      <c r="C5" s="11" t="n">
        <v>2</v>
      </c>
      <c r="D5" s="11" t="n">
        <v>3</v>
      </c>
      <c r="E5" s="11" t="n">
        <v>2</v>
      </c>
      <c r="F5" s="11" t="n">
        <v>0</v>
      </c>
      <c r="G5" s="11" t="n">
        <v>0</v>
      </c>
      <c r="H5" s="11" t="n">
        <v>0</v>
      </c>
      <c r="I5" s="11" t="n">
        <v>2</v>
      </c>
      <c r="J5" s="14" t="n">
        <v>0.667</v>
      </c>
      <c r="K5" s="18"/>
      <c r="L5" s="11"/>
      <c r="M5" s="11"/>
      <c r="N5" s="19"/>
    </row>
    <row r="6" customFormat="false" ht="15" hidden="false" customHeight="true" outlineLevel="0" collapsed="false">
      <c r="A6" s="5" t="s">
        <v>119</v>
      </c>
      <c r="B6" s="5" t="s">
        <v>60</v>
      </c>
      <c r="C6" s="11" t="n">
        <v>3</v>
      </c>
      <c r="D6" s="11" t="n">
        <v>6</v>
      </c>
      <c r="E6" s="11" t="n">
        <v>2</v>
      </c>
      <c r="F6" s="11" t="n">
        <v>0</v>
      </c>
      <c r="G6" s="11" t="n">
        <v>0</v>
      </c>
      <c r="H6" s="11" t="n">
        <v>0</v>
      </c>
      <c r="I6" s="11" t="n">
        <v>1</v>
      </c>
      <c r="J6" s="14" t="n">
        <v>0.333</v>
      </c>
      <c r="K6" s="18" t="n">
        <v>5</v>
      </c>
      <c r="L6" s="11" t="n">
        <v>0</v>
      </c>
      <c r="M6" s="11" t="n">
        <v>2</v>
      </c>
      <c r="N6" s="19" t="n">
        <v>14</v>
      </c>
    </row>
    <row r="7" customFormat="false" ht="15" hidden="false" customHeight="true" outlineLevel="0" collapsed="false">
      <c r="A7" s="5" t="s">
        <v>120</v>
      </c>
      <c r="B7" s="5" t="s">
        <v>60</v>
      </c>
      <c r="C7" s="11" t="n">
        <v>1</v>
      </c>
      <c r="D7" s="11" t="n">
        <v>1</v>
      </c>
      <c r="E7" s="11" t="n">
        <v>1</v>
      </c>
      <c r="F7" s="11" t="n">
        <v>0</v>
      </c>
      <c r="G7" s="11" t="n">
        <v>0</v>
      </c>
      <c r="H7" s="11" t="n">
        <v>0</v>
      </c>
      <c r="I7" s="11" t="n">
        <v>1</v>
      </c>
      <c r="J7" s="14" t="n">
        <v>1</v>
      </c>
      <c r="K7" s="18"/>
      <c r="L7" s="11"/>
      <c r="M7" s="11"/>
      <c r="N7" s="19"/>
    </row>
    <row r="8" customFormat="false" ht="15" hidden="false" customHeight="true" outlineLevel="0" collapsed="false">
      <c r="A8" s="5" t="s">
        <v>121</v>
      </c>
      <c r="B8" s="5" t="s">
        <v>60</v>
      </c>
      <c r="C8" s="11" t="n">
        <v>2</v>
      </c>
      <c r="D8" s="11" t="n">
        <v>4</v>
      </c>
      <c r="E8" s="11" t="n">
        <v>1</v>
      </c>
      <c r="F8" s="11" t="n">
        <v>0</v>
      </c>
      <c r="G8" s="11" t="n">
        <v>0</v>
      </c>
      <c r="H8" s="11" t="n">
        <v>0</v>
      </c>
      <c r="I8" s="11" t="n">
        <v>1</v>
      </c>
      <c r="J8" s="14" t="n">
        <v>0.25</v>
      </c>
      <c r="K8" s="18"/>
      <c r="L8" s="11"/>
      <c r="M8" s="11"/>
      <c r="N8" s="19"/>
    </row>
    <row r="9" customFormat="false" ht="15" hidden="false" customHeight="true" outlineLevel="0" collapsed="false">
      <c r="A9" s="5" t="s">
        <v>122</v>
      </c>
      <c r="B9" s="5" t="s">
        <v>60</v>
      </c>
      <c r="C9" s="11" t="n">
        <v>2</v>
      </c>
      <c r="D9" s="11" t="n">
        <v>4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1</v>
      </c>
      <c r="J9" s="14" t="n">
        <v>0</v>
      </c>
      <c r="K9" s="18"/>
      <c r="L9" s="11"/>
      <c r="M9" s="11"/>
      <c r="N9" s="19"/>
    </row>
    <row r="10" customFormat="false" ht="15" hidden="false" customHeight="true" outlineLevel="0" collapsed="false">
      <c r="A10" s="5" t="s">
        <v>123</v>
      </c>
      <c r="B10" s="5" t="s">
        <v>60</v>
      </c>
      <c r="C10" s="11" t="n">
        <v>1</v>
      </c>
      <c r="D10" s="11" t="n">
        <v>2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1</v>
      </c>
      <c r="J10" s="14" t="n">
        <v>0</v>
      </c>
      <c r="K10" s="18"/>
      <c r="L10" s="11"/>
      <c r="M10" s="11"/>
      <c r="N10" s="19"/>
    </row>
    <row r="11" customFormat="false" ht="15" hidden="false" customHeight="true" outlineLevel="0" collapsed="false">
      <c r="A11" s="5" t="s">
        <v>124</v>
      </c>
      <c r="B11" s="5" t="s">
        <v>60</v>
      </c>
      <c r="C11" s="11" t="n">
        <v>3</v>
      </c>
      <c r="D11" s="11" t="n">
        <v>6</v>
      </c>
      <c r="E11" s="11" t="n">
        <v>3</v>
      </c>
      <c r="F11" s="11" t="n">
        <v>1</v>
      </c>
      <c r="G11" s="11" t="n">
        <v>1</v>
      </c>
      <c r="H11" s="11" t="n">
        <v>0</v>
      </c>
      <c r="I11" s="11" t="n">
        <v>0</v>
      </c>
      <c r="J11" s="14" t="n">
        <v>0.6</v>
      </c>
      <c r="K11" s="18" t="n">
        <v>5</v>
      </c>
      <c r="L11" s="11" t="n">
        <v>0</v>
      </c>
      <c r="M11" s="11" t="n">
        <v>1</v>
      </c>
      <c r="N11" s="19" t="n">
        <v>5.6</v>
      </c>
    </row>
    <row r="12" customFormat="false" ht="15" hidden="false" customHeight="true" outlineLevel="0" collapsed="false">
      <c r="A12" s="5" t="s">
        <v>125</v>
      </c>
      <c r="B12" s="5" t="s">
        <v>60</v>
      </c>
      <c r="C12" s="11" t="n">
        <v>1</v>
      </c>
      <c r="D12" s="11" t="n">
        <v>2</v>
      </c>
      <c r="E12" s="11" t="n">
        <v>2</v>
      </c>
      <c r="F12" s="11" t="n">
        <v>0</v>
      </c>
      <c r="G12" s="11" t="n">
        <v>0</v>
      </c>
      <c r="H12" s="11" t="n">
        <v>0</v>
      </c>
      <c r="I12" s="11" t="n">
        <v>0</v>
      </c>
      <c r="J12" s="14" t="n">
        <v>1</v>
      </c>
      <c r="K12" s="18"/>
      <c r="L12" s="11"/>
      <c r="M12" s="11"/>
      <c r="N12" s="19"/>
    </row>
    <row r="13" customFormat="false" ht="15" hidden="false" customHeight="true" outlineLevel="0" collapsed="false">
      <c r="A13" s="5" t="s">
        <v>126</v>
      </c>
      <c r="B13" s="5" t="s">
        <v>60</v>
      </c>
      <c r="C13" s="11" t="n">
        <v>3</v>
      </c>
      <c r="D13" s="11" t="n">
        <v>5</v>
      </c>
      <c r="E13" s="11" t="n">
        <v>2</v>
      </c>
      <c r="F13" s="11" t="n">
        <v>0</v>
      </c>
      <c r="G13" s="11" t="n">
        <v>0</v>
      </c>
      <c r="H13" s="11" t="n">
        <v>0</v>
      </c>
      <c r="I13" s="11" t="n">
        <v>0</v>
      </c>
      <c r="J13" s="14" t="n">
        <v>0.4</v>
      </c>
      <c r="K13" s="18"/>
      <c r="L13" s="11"/>
      <c r="M13" s="11"/>
      <c r="N13" s="19"/>
    </row>
    <row r="14" customFormat="false" ht="15" hidden="false" customHeight="true" outlineLevel="0" collapsed="false">
      <c r="A14" s="5" t="s">
        <v>127</v>
      </c>
      <c r="B14" s="5" t="s">
        <v>60</v>
      </c>
      <c r="C14" s="11" t="n">
        <v>3</v>
      </c>
      <c r="D14" s="11" t="n">
        <v>5</v>
      </c>
      <c r="E14" s="11" t="n">
        <v>2</v>
      </c>
      <c r="F14" s="11" t="n">
        <v>0</v>
      </c>
      <c r="G14" s="11" t="n">
        <v>0</v>
      </c>
      <c r="H14" s="11" t="n">
        <v>0</v>
      </c>
      <c r="I14" s="11" t="n">
        <v>0</v>
      </c>
      <c r="J14" s="14" t="n">
        <v>0.4</v>
      </c>
      <c r="K14" s="18"/>
      <c r="L14" s="11"/>
      <c r="M14" s="11"/>
      <c r="N14" s="19"/>
    </row>
    <row r="15" customFormat="false" ht="15" hidden="false" customHeight="true" outlineLevel="0" collapsed="false">
      <c r="A15" s="5" t="s">
        <v>128</v>
      </c>
      <c r="B15" s="5" t="s">
        <v>60</v>
      </c>
      <c r="C15" s="11" t="n">
        <v>3</v>
      </c>
      <c r="D15" s="11" t="n">
        <v>5</v>
      </c>
      <c r="E15" s="11" t="n">
        <v>2</v>
      </c>
      <c r="F15" s="11" t="n">
        <v>0</v>
      </c>
      <c r="G15" s="11" t="n">
        <v>1</v>
      </c>
      <c r="H15" s="11" t="n">
        <v>0</v>
      </c>
      <c r="I15" s="11" t="n">
        <v>0</v>
      </c>
      <c r="J15" s="14" t="n">
        <v>0.4</v>
      </c>
      <c r="K15" s="18"/>
      <c r="L15" s="11"/>
      <c r="M15" s="11"/>
      <c r="N15" s="19"/>
    </row>
    <row r="16" customFormat="false" ht="15" hidden="false" customHeight="true" outlineLevel="0" collapsed="false">
      <c r="A16" s="5" t="s">
        <v>129</v>
      </c>
      <c r="B16" s="5" t="s">
        <v>60</v>
      </c>
      <c r="C16" s="11" t="n">
        <v>3</v>
      </c>
      <c r="D16" s="11" t="n">
        <v>4</v>
      </c>
      <c r="E16" s="11" t="n">
        <v>1</v>
      </c>
      <c r="F16" s="11" t="n">
        <v>0</v>
      </c>
      <c r="G16" s="11" t="n">
        <v>0</v>
      </c>
      <c r="H16" s="11" t="n">
        <v>0</v>
      </c>
      <c r="I16" s="11" t="n">
        <v>0</v>
      </c>
      <c r="J16" s="14" t="n">
        <v>0.25</v>
      </c>
      <c r="K16" s="18"/>
      <c r="L16" s="11"/>
      <c r="M16" s="11"/>
      <c r="N16" s="19"/>
    </row>
    <row r="17" customFormat="false" ht="15" hidden="false" customHeight="true" outlineLevel="0" collapsed="false">
      <c r="A17" s="5" t="s">
        <v>130</v>
      </c>
      <c r="B17" s="5" t="s">
        <v>60</v>
      </c>
      <c r="C17" s="11" t="n">
        <v>3</v>
      </c>
      <c r="D17" s="11" t="n">
        <v>5</v>
      </c>
      <c r="E17" s="11" t="n">
        <v>1</v>
      </c>
      <c r="F17" s="11" t="n">
        <v>0</v>
      </c>
      <c r="G17" s="11" t="n">
        <v>0</v>
      </c>
      <c r="H17" s="11" t="n">
        <v>0</v>
      </c>
      <c r="I17" s="11" t="n">
        <v>0</v>
      </c>
      <c r="J17" s="14" t="n">
        <v>0.2</v>
      </c>
      <c r="K17" s="18"/>
      <c r="L17" s="11"/>
      <c r="M17" s="11"/>
      <c r="N17" s="19"/>
    </row>
    <row r="18" customFormat="false" ht="15" hidden="false" customHeight="true" outlineLevel="0" collapsed="false">
      <c r="A18" s="5" t="s">
        <v>131</v>
      </c>
      <c r="B18" s="5" t="s">
        <v>60</v>
      </c>
      <c r="C18" s="11" t="n">
        <v>2</v>
      </c>
      <c r="D18" s="11" t="n">
        <v>4</v>
      </c>
      <c r="E18" s="11" t="n">
        <v>1</v>
      </c>
      <c r="F18" s="11" t="n">
        <v>0</v>
      </c>
      <c r="G18" s="11" t="n">
        <v>0</v>
      </c>
      <c r="H18" s="11" t="n">
        <v>0</v>
      </c>
      <c r="I18" s="11" t="n">
        <v>0</v>
      </c>
      <c r="J18" s="14" t="n">
        <v>0.333</v>
      </c>
      <c r="K18" s="18"/>
      <c r="L18" s="11"/>
      <c r="M18" s="11"/>
      <c r="N18" s="19"/>
    </row>
    <row r="19" customFormat="false" ht="15" hidden="false" customHeight="true" outlineLevel="0" collapsed="false">
      <c r="A19" s="5" t="s">
        <v>132</v>
      </c>
      <c r="B19" s="5" t="s">
        <v>60</v>
      </c>
      <c r="C19" s="11" t="n">
        <v>1</v>
      </c>
      <c r="D19" s="11" t="n">
        <v>2</v>
      </c>
      <c r="E19" s="11" t="n">
        <v>1</v>
      </c>
      <c r="F19" s="11" t="n">
        <v>0</v>
      </c>
      <c r="G19" s="11" t="n">
        <v>0</v>
      </c>
      <c r="H19" s="11" t="n">
        <v>0</v>
      </c>
      <c r="I19" s="11" t="n">
        <v>0</v>
      </c>
      <c r="J19" s="14" t="n">
        <v>0.5</v>
      </c>
      <c r="K19" s="18"/>
      <c r="L19" s="11"/>
      <c r="M19" s="11"/>
      <c r="N19" s="19"/>
    </row>
    <row r="20" customFormat="false" ht="15" hidden="false" customHeight="true" outlineLevel="0" collapsed="false">
      <c r="A20" s="5" t="s">
        <v>133</v>
      </c>
      <c r="B20" s="5" t="s">
        <v>60</v>
      </c>
      <c r="C20" s="11" t="n">
        <v>1</v>
      </c>
      <c r="D20" s="11" t="n">
        <v>1</v>
      </c>
      <c r="E20" s="11" t="n">
        <v>1</v>
      </c>
      <c r="F20" s="11" t="n">
        <v>1</v>
      </c>
      <c r="G20" s="11" t="n">
        <v>0</v>
      </c>
      <c r="H20" s="11" t="n">
        <v>0</v>
      </c>
      <c r="I20" s="11" t="n">
        <v>0</v>
      </c>
      <c r="J20" s="14" t="n">
        <v>1</v>
      </c>
      <c r="K20" s="18"/>
      <c r="L20" s="11"/>
      <c r="M20" s="11"/>
      <c r="N20" s="19"/>
    </row>
    <row r="21" customFormat="false" ht="15" hidden="false" customHeight="true" outlineLevel="0" collapsed="false">
      <c r="A21" s="5" t="s">
        <v>134</v>
      </c>
      <c r="B21" s="5" t="s">
        <v>60</v>
      </c>
      <c r="C21" s="11" t="n">
        <v>1</v>
      </c>
      <c r="D21" s="11" t="n">
        <v>1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4" t="n">
        <v>0</v>
      </c>
      <c r="K21" s="18"/>
      <c r="L21" s="11"/>
      <c r="M21" s="11"/>
      <c r="N21" s="19"/>
    </row>
    <row r="22" customFormat="false" ht="15" hidden="false" customHeight="true" outlineLevel="0" collapsed="false">
      <c r="A22" s="5" t="s">
        <v>135</v>
      </c>
      <c r="B22" s="5" t="s">
        <v>60</v>
      </c>
      <c r="C22" s="11" t="n">
        <v>2</v>
      </c>
      <c r="D22" s="11" t="n">
        <v>4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4" t="n">
        <v>0</v>
      </c>
      <c r="K22" s="18"/>
      <c r="L22" s="11"/>
      <c r="M22" s="11"/>
      <c r="N22" s="19"/>
    </row>
    <row r="23" customFormat="false" ht="15" hidden="false" customHeight="true" outlineLevel="0" collapsed="false">
      <c r="A23" s="5" t="s">
        <v>136</v>
      </c>
      <c r="B23" s="5" t="s">
        <v>60</v>
      </c>
      <c r="C23" s="11" t="n">
        <v>3</v>
      </c>
      <c r="D23" s="11" t="n">
        <v>3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4" t="n">
        <v>0</v>
      </c>
      <c r="K23" s="18" t="n">
        <v>4.1</v>
      </c>
      <c r="L23" s="11" t="n">
        <v>0</v>
      </c>
      <c r="M23" s="11" t="n">
        <v>0</v>
      </c>
      <c r="N23" s="19" t="n">
        <v>14.54</v>
      </c>
    </row>
    <row r="24" customFormat="false" ht="15" hidden="false" customHeight="true" outlineLevel="0" collapsed="false">
      <c r="A24" s="5" t="s">
        <v>137</v>
      </c>
      <c r="B24" s="5" t="s">
        <v>60</v>
      </c>
      <c r="C24" s="11" t="n">
        <v>1</v>
      </c>
      <c r="D24" s="11" t="n">
        <v>2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4" t="n">
        <v>0</v>
      </c>
      <c r="K24" s="18"/>
      <c r="L24" s="11"/>
      <c r="M24" s="11"/>
      <c r="N24" s="19"/>
    </row>
    <row r="25" customFormat="false" ht="15" hidden="false" customHeight="true" outlineLevel="0" collapsed="false">
      <c r="A25" s="5" t="s">
        <v>138</v>
      </c>
      <c r="B25" s="5" t="s">
        <v>60</v>
      </c>
      <c r="C25" s="11" t="n">
        <v>1</v>
      </c>
      <c r="D25" s="11" t="n">
        <v>2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4" t="n">
        <v>0</v>
      </c>
      <c r="K25" s="18"/>
      <c r="L25" s="11"/>
      <c r="M25" s="11"/>
      <c r="N25" s="19"/>
    </row>
    <row r="26" customFormat="false" ht="15" hidden="false" customHeight="true" outlineLevel="0" collapsed="false">
      <c r="A26" s="5" t="s">
        <v>139</v>
      </c>
      <c r="B26" s="5" t="s">
        <v>60</v>
      </c>
      <c r="C26" s="11" t="n">
        <v>3</v>
      </c>
      <c r="D26" s="11" t="n">
        <v>4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4" t="n">
        <v>0</v>
      </c>
      <c r="K26" s="18"/>
      <c r="L26" s="11"/>
      <c r="M26" s="11"/>
      <c r="N26" s="19"/>
    </row>
  </sheetData>
  <autoFilter ref="A4:N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9" min="3" style="1" width="6"/>
    <col collapsed="false" customWidth="true" hidden="false" outlineLevel="0" max="10" min="10" style="1" width="8"/>
    <col collapsed="false" customWidth="true" hidden="false" outlineLevel="0" max="13" min="11" style="1" width="6"/>
    <col collapsed="false" customWidth="true" hidden="false" outlineLevel="0" max="14" min="14" style="1" width="8"/>
  </cols>
  <sheetData>
    <row r="1" customFormat="false" ht="19.5" hidden="false" customHeight="true" outlineLevel="0" collapsed="false">
      <c r="A1" s="2" t="s">
        <v>59</v>
      </c>
    </row>
    <row r="2" customFormat="false" ht="15" hidden="false" customHeight="true" outlineLevel="0" collapsed="false">
      <c r="A2" s="9" t="s">
        <v>77</v>
      </c>
    </row>
    <row r="4" customFormat="false" ht="19.5" hidden="false" customHeight="true" outlineLevel="0" collapsed="false">
      <c r="A4" s="16" t="s">
        <v>78</v>
      </c>
      <c r="B4" s="16" t="s">
        <v>49</v>
      </c>
      <c r="C4" s="17" t="s">
        <v>8</v>
      </c>
      <c r="D4" s="17" t="s">
        <v>10</v>
      </c>
      <c r="E4" s="17" t="s">
        <v>12</v>
      </c>
      <c r="F4" s="17" t="s">
        <v>14</v>
      </c>
      <c r="G4" s="17" t="s">
        <v>16</v>
      </c>
      <c r="H4" s="17" t="s">
        <v>18</v>
      </c>
      <c r="I4" s="17" t="s">
        <v>20</v>
      </c>
      <c r="J4" s="17" t="s">
        <v>22</v>
      </c>
      <c r="K4" s="17" t="s">
        <v>24</v>
      </c>
      <c r="L4" s="17" t="s">
        <v>26</v>
      </c>
      <c r="M4" s="17" t="s">
        <v>28</v>
      </c>
      <c r="N4" s="17" t="s">
        <v>30</v>
      </c>
    </row>
    <row r="5" customFormat="false" ht="15" hidden="false" customHeight="true" outlineLevel="0" collapsed="false">
      <c r="A5" s="5" t="s">
        <v>140</v>
      </c>
      <c r="B5" s="5" t="s">
        <v>59</v>
      </c>
      <c r="C5" s="11" t="n">
        <v>3</v>
      </c>
      <c r="D5" s="11" t="n">
        <v>8</v>
      </c>
      <c r="E5" s="11" t="n">
        <v>6</v>
      </c>
      <c r="F5" s="11" t="n">
        <v>0</v>
      </c>
      <c r="G5" s="11" t="n">
        <v>0</v>
      </c>
      <c r="H5" s="11" t="n">
        <v>4</v>
      </c>
      <c r="I5" s="11" t="n">
        <v>8</v>
      </c>
      <c r="J5" s="14" t="n">
        <v>0.857</v>
      </c>
      <c r="K5" s="18"/>
      <c r="L5" s="11"/>
      <c r="M5" s="11"/>
      <c r="N5" s="19"/>
    </row>
    <row r="6" customFormat="false" ht="15" hidden="false" customHeight="true" outlineLevel="0" collapsed="false">
      <c r="A6" s="5" t="s">
        <v>141</v>
      </c>
      <c r="B6" s="5" t="s">
        <v>59</v>
      </c>
      <c r="C6" s="11" t="n">
        <v>4</v>
      </c>
      <c r="D6" s="11" t="n">
        <v>10</v>
      </c>
      <c r="E6" s="11" t="n">
        <v>5</v>
      </c>
      <c r="F6" s="11" t="n">
        <v>2</v>
      </c>
      <c r="G6" s="11" t="n">
        <v>2</v>
      </c>
      <c r="H6" s="11" t="n">
        <v>0</v>
      </c>
      <c r="I6" s="11" t="n">
        <v>4</v>
      </c>
      <c r="J6" s="14" t="n">
        <v>0.556</v>
      </c>
      <c r="K6" s="18"/>
      <c r="L6" s="11"/>
      <c r="M6" s="11"/>
      <c r="N6" s="19"/>
    </row>
    <row r="7" customFormat="false" ht="15" hidden="false" customHeight="true" outlineLevel="0" collapsed="false">
      <c r="A7" s="5" t="s">
        <v>142</v>
      </c>
      <c r="B7" s="5" t="s">
        <v>59</v>
      </c>
      <c r="C7" s="11" t="n">
        <v>3</v>
      </c>
      <c r="D7" s="11" t="n">
        <v>6</v>
      </c>
      <c r="E7" s="11" t="n">
        <v>4</v>
      </c>
      <c r="F7" s="11" t="n">
        <v>0</v>
      </c>
      <c r="G7" s="11" t="n">
        <v>0</v>
      </c>
      <c r="H7" s="11" t="n">
        <v>0</v>
      </c>
      <c r="I7" s="11" t="n">
        <v>3</v>
      </c>
      <c r="J7" s="14" t="n">
        <v>0.667</v>
      </c>
      <c r="K7" s="18"/>
      <c r="L7" s="11"/>
      <c r="M7" s="11"/>
      <c r="N7" s="19"/>
    </row>
    <row r="8" customFormat="false" ht="15" hidden="false" customHeight="true" outlineLevel="0" collapsed="false">
      <c r="A8" s="5" t="s">
        <v>143</v>
      </c>
      <c r="B8" s="5" t="s">
        <v>59</v>
      </c>
      <c r="C8" s="11" t="n">
        <v>2</v>
      </c>
      <c r="D8" s="11" t="n">
        <v>3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3</v>
      </c>
      <c r="J8" s="14" t="n">
        <v>0</v>
      </c>
      <c r="K8" s="18"/>
      <c r="L8" s="11"/>
      <c r="M8" s="11"/>
      <c r="N8" s="19"/>
    </row>
    <row r="9" customFormat="false" ht="15" hidden="false" customHeight="true" outlineLevel="0" collapsed="false">
      <c r="A9" s="5" t="s">
        <v>144</v>
      </c>
      <c r="B9" s="5" t="s">
        <v>59</v>
      </c>
      <c r="C9" s="11" t="n">
        <v>4</v>
      </c>
      <c r="D9" s="11" t="n">
        <v>9</v>
      </c>
      <c r="E9" s="11" t="n">
        <v>2</v>
      </c>
      <c r="F9" s="11" t="n">
        <v>0</v>
      </c>
      <c r="G9" s="11" t="n">
        <v>0</v>
      </c>
      <c r="H9" s="11" t="n">
        <v>0</v>
      </c>
      <c r="I9" s="11" t="n">
        <v>2</v>
      </c>
      <c r="J9" s="14" t="n">
        <v>0.222</v>
      </c>
      <c r="K9" s="18" t="n">
        <v>3.1</v>
      </c>
      <c r="L9" s="11" t="n">
        <v>0</v>
      </c>
      <c r="M9" s="11" t="n">
        <v>2</v>
      </c>
      <c r="N9" s="19" t="n">
        <v>27.3</v>
      </c>
    </row>
    <row r="10" customFormat="false" ht="15" hidden="false" customHeight="true" outlineLevel="0" collapsed="false">
      <c r="A10" s="5" t="s">
        <v>145</v>
      </c>
      <c r="B10" s="5" t="s">
        <v>59</v>
      </c>
      <c r="C10" s="11" t="n">
        <v>4</v>
      </c>
      <c r="D10" s="11" t="n">
        <v>9</v>
      </c>
      <c r="E10" s="11" t="n">
        <v>6</v>
      </c>
      <c r="F10" s="11" t="n">
        <v>0</v>
      </c>
      <c r="G10" s="11" t="n">
        <v>0</v>
      </c>
      <c r="H10" s="11" t="n">
        <v>0</v>
      </c>
      <c r="I10" s="11" t="n">
        <v>1</v>
      </c>
      <c r="J10" s="14" t="n">
        <v>0.667</v>
      </c>
      <c r="K10" s="18"/>
      <c r="L10" s="11"/>
      <c r="M10" s="11"/>
      <c r="N10" s="19"/>
    </row>
    <row r="11" customFormat="false" ht="15" hidden="false" customHeight="true" outlineLevel="0" collapsed="false">
      <c r="A11" s="5" t="s">
        <v>146</v>
      </c>
      <c r="B11" s="5" t="s">
        <v>59</v>
      </c>
      <c r="C11" s="11" t="n">
        <v>2</v>
      </c>
      <c r="D11" s="11" t="n">
        <v>4</v>
      </c>
      <c r="E11" s="11" t="n">
        <v>4</v>
      </c>
      <c r="F11" s="11" t="n">
        <v>0</v>
      </c>
      <c r="G11" s="11" t="n">
        <v>1</v>
      </c>
      <c r="H11" s="11" t="n">
        <v>0</v>
      </c>
      <c r="I11" s="11" t="n">
        <v>1</v>
      </c>
      <c r="J11" s="14" t="n">
        <v>1</v>
      </c>
      <c r="K11" s="18"/>
      <c r="L11" s="11"/>
      <c r="M11" s="11"/>
      <c r="N11" s="19"/>
    </row>
    <row r="12" customFormat="false" ht="15" hidden="false" customHeight="true" outlineLevel="0" collapsed="false">
      <c r="A12" s="5" t="s">
        <v>147</v>
      </c>
      <c r="B12" s="5" t="s">
        <v>59</v>
      </c>
      <c r="C12" s="11" t="n">
        <v>3</v>
      </c>
      <c r="D12" s="11" t="n">
        <v>7</v>
      </c>
      <c r="E12" s="11" t="n">
        <v>2</v>
      </c>
      <c r="F12" s="11" t="n">
        <v>1</v>
      </c>
      <c r="G12" s="11" t="n">
        <v>0</v>
      </c>
      <c r="H12" s="11" t="n">
        <v>0</v>
      </c>
      <c r="I12" s="11" t="n">
        <v>1</v>
      </c>
      <c r="J12" s="14" t="n">
        <v>0.286</v>
      </c>
      <c r="K12" s="18"/>
      <c r="L12" s="11"/>
      <c r="M12" s="11"/>
      <c r="N12" s="19"/>
    </row>
    <row r="13" customFormat="false" ht="15" hidden="false" customHeight="true" outlineLevel="0" collapsed="false">
      <c r="A13" s="5" t="s">
        <v>148</v>
      </c>
      <c r="B13" s="5" t="s">
        <v>59</v>
      </c>
      <c r="C13" s="11" t="n">
        <v>4</v>
      </c>
      <c r="D13" s="11" t="n">
        <v>10</v>
      </c>
      <c r="E13" s="11" t="n">
        <v>2</v>
      </c>
      <c r="F13" s="11" t="n">
        <v>0</v>
      </c>
      <c r="G13" s="11" t="n">
        <v>0</v>
      </c>
      <c r="H13" s="11" t="n">
        <v>0</v>
      </c>
      <c r="I13" s="11" t="n">
        <v>1</v>
      </c>
      <c r="J13" s="14" t="n">
        <v>0.2</v>
      </c>
      <c r="K13" s="18"/>
      <c r="L13" s="11"/>
      <c r="M13" s="11"/>
      <c r="N13" s="19"/>
    </row>
    <row r="14" customFormat="false" ht="15" hidden="false" customHeight="true" outlineLevel="0" collapsed="false">
      <c r="A14" s="5" t="s">
        <v>149</v>
      </c>
      <c r="B14" s="5" t="s">
        <v>59</v>
      </c>
      <c r="C14" s="11" t="n">
        <v>3</v>
      </c>
      <c r="D14" s="11" t="n">
        <v>4</v>
      </c>
      <c r="E14" s="11" t="n">
        <v>2</v>
      </c>
      <c r="F14" s="11" t="n">
        <v>1</v>
      </c>
      <c r="G14" s="11" t="n">
        <v>0</v>
      </c>
      <c r="H14" s="11" t="n">
        <v>0</v>
      </c>
      <c r="I14" s="11" t="n">
        <v>1</v>
      </c>
      <c r="J14" s="14" t="n">
        <v>0.5</v>
      </c>
      <c r="K14" s="18"/>
      <c r="L14" s="11"/>
      <c r="M14" s="11"/>
      <c r="N14" s="19"/>
    </row>
    <row r="15" customFormat="false" ht="15" hidden="false" customHeight="true" outlineLevel="0" collapsed="false">
      <c r="A15" s="5" t="s">
        <v>150</v>
      </c>
      <c r="B15" s="5" t="s">
        <v>59</v>
      </c>
      <c r="C15" s="11" t="n">
        <v>3</v>
      </c>
      <c r="D15" s="11" t="n">
        <v>5</v>
      </c>
      <c r="E15" s="11" t="n">
        <v>1</v>
      </c>
      <c r="F15" s="11" t="n">
        <v>0</v>
      </c>
      <c r="G15" s="11" t="n">
        <v>0</v>
      </c>
      <c r="H15" s="11" t="n">
        <v>0</v>
      </c>
      <c r="I15" s="11" t="n">
        <v>1</v>
      </c>
      <c r="J15" s="14" t="n">
        <v>0.25</v>
      </c>
      <c r="K15" s="18"/>
      <c r="L15" s="11"/>
      <c r="M15" s="11"/>
      <c r="N15" s="19"/>
    </row>
    <row r="16" customFormat="false" ht="15" hidden="false" customHeight="true" outlineLevel="0" collapsed="false">
      <c r="A16" s="5" t="s">
        <v>151</v>
      </c>
      <c r="B16" s="5" t="s">
        <v>59</v>
      </c>
      <c r="C16" s="11" t="n">
        <v>2</v>
      </c>
      <c r="D16" s="11" t="n">
        <v>4</v>
      </c>
      <c r="E16" s="11" t="n">
        <v>1</v>
      </c>
      <c r="F16" s="11" t="n">
        <v>0</v>
      </c>
      <c r="G16" s="11" t="n">
        <v>0</v>
      </c>
      <c r="H16" s="11" t="n">
        <v>0</v>
      </c>
      <c r="I16" s="11" t="n">
        <v>1</v>
      </c>
      <c r="J16" s="14" t="n">
        <v>0.25</v>
      </c>
      <c r="K16" s="18" t="n">
        <v>0.1</v>
      </c>
      <c r="L16" s="11" t="n">
        <v>0</v>
      </c>
      <c r="M16" s="11" t="n">
        <v>0</v>
      </c>
      <c r="N16" s="19" t="n">
        <v>84</v>
      </c>
    </row>
    <row r="17" customFormat="false" ht="15" hidden="false" customHeight="true" outlineLevel="0" collapsed="false">
      <c r="A17" s="5" t="s">
        <v>152</v>
      </c>
      <c r="B17" s="5" t="s">
        <v>59</v>
      </c>
      <c r="C17" s="11" t="n">
        <v>1</v>
      </c>
      <c r="D17" s="11" t="n">
        <v>2</v>
      </c>
      <c r="E17" s="11" t="n">
        <v>1</v>
      </c>
      <c r="F17" s="11" t="n">
        <v>0</v>
      </c>
      <c r="G17" s="11" t="n">
        <v>0</v>
      </c>
      <c r="H17" s="11" t="n">
        <v>0</v>
      </c>
      <c r="I17" s="11" t="n">
        <v>1</v>
      </c>
      <c r="J17" s="14" t="n">
        <v>0.5</v>
      </c>
      <c r="K17" s="18"/>
      <c r="L17" s="11"/>
      <c r="M17" s="11"/>
      <c r="N17" s="19"/>
    </row>
    <row r="18" customFormat="false" ht="15" hidden="false" customHeight="true" outlineLevel="0" collapsed="false">
      <c r="A18" s="5" t="s">
        <v>153</v>
      </c>
      <c r="B18" s="5" t="s">
        <v>59</v>
      </c>
      <c r="C18" s="11" t="n">
        <v>2</v>
      </c>
      <c r="D18" s="11" t="n">
        <v>4</v>
      </c>
      <c r="E18" s="11" t="n">
        <v>2</v>
      </c>
      <c r="F18" s="11" t="n">
        <v>0</v>
      </c>
      <c r="G18" s="11" t="n">
        <v>0</v>
      </c>
      <c r="H18" s="11" t="n">
        <v>0</v>
      </c>
      <c r="I18" s="11" t="n">
        <v>0</v>
      </c>
      <c r="J18" s="14" t="n">
        <v>0.5</v>
      </c>
      <c r="K18" s="18"/>
      <c r="L18" s="11"/>
      <c r="M18" s="11"/>
      <c r="N18" s="19"/>
    </row>
    <row r="19" customFormat="false" ht="15" hidden="false" customHeight="true" outlineLevel="0" collapsed="false">
      <c r="A19" s="5" t="s">
        <v>154</v>
      </c>
      <c r="B19" s="5" t="s">
        <v>59</v>
      </c>
      <c r="C19" s="11" t="n">
        <v>4</v>
      </c>
      <c r="D19" s="11" t="n">
        <v>8</v>
      </c>
      <c r="E19" s="11" t="n">
        <v>2</v>
      </c>
      <c r="F19" s="11" t="n">
        <v>0</v>
      </c>
      <c r="G19" s="11" t="n">
        <v>0</v>
      </c>
      <c r="H19" s="11" t="n">
        <v>0</v>
      </c>
      <c r="I19" s="11" t="n">
        <v>0</v>
      </c>
      <c r="J19" s="14" t="n">
        <v>0.25</v>
      </c>
      <c r="K19" s="18"/>
      <c r="L19" s="11"/>
      <c r="M19" s="11"/>
      <c r="N19" s="19"/>
    </row>
    <row r="20" customFormat="false" ht="15" hidden="false" customHeight="true" outlineLevel="0" collapsed="false">
      <c r="A20" s="5" t="s">
        <v>155</v>
      </c>
      <c r="B20" s="5" t="s">
        <v>59</v>
      </c>
      <c r="C20" s="11" t="n">
        <v>1</v>
      </c>
      <c r="D20" s="11" t="n">
        <v>2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4" t="n">
        <v>0</v>
      </c>
      <c r="K20" s="18"/>
      <c r="L20" s="11"/>
      <c r="M20" s="11"/>
      <c r="N20" s="19"/>
    </row>
    <row r="21" customFormat="false" ht="15" hidden="false" customHeight="true" outlineLevel="0" collapsed="false">
      <c r="A21" s="5" t="s">
        <v>156</v>
      </c>
      <c r="B21" s="5" t="s">
        <v>59</v>
      </c>
      <c r="C21" s="11" t="n">
        <v>2</v>
      </c>
      <c r="D21" s="11" t="n">
        <v>2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4" t="n">
        <v>0</v>
      </c>
      <c r="K21" s="18"/>
      <c r="L21" s="11"/>
      <c r="M21" s="11"/>
      <c r="N21" s="19"/>
    </row>
    <row r="22" customFormat="false" ht="15" hidden="false" customHeight="true" outlineLevel="0" collapsed="false">
      <c r="A22" s="5" t="s">
        <v>157</v>
      </c>
      <c r="B22" s="5" t="s">
        <v>59</v>
      </c>
      <c r="C22" s="11" t="n">
        <v>3</v>
      </c>
      <c r="D22" s="11" t="n">
        <v>5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4" t="n">
        <v>0</v>
      </c>
      <c r="K22" s="18" t="n">
        <v>12</v>
      </c>
      <c r="L22" s="11" t="n">
        <v>1</v>
      </c>
      <c r="M22" s="11" t="n">
        <v>2</v>
      </c>
      <c r="N22" s="19" t="n">
        <v>12.83</v>
      </c>
    </row>
  </sheetData>
  <autoFilter ref="A4:N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9" min="3" style="1" width="6"/>
    <col collapsed="false" customWidth="true" hidden="false" outlineLevel="0" max="10" min="10" style="1" width="8"/>
    <col collapsed="false" customWidth="true" hidden="false" outlineLevel="0" max="13" min="11" style="1" width="6"/>
    <col collapsed="false" customWidth="true" hidden="false" outlineLevel="0" max="14" min="14" style="1" width="8"/>
  </cols>
  <sheetData>
    <row r="1" customFormat="false" ht="19.5" hidden="false" customHeight="true" outlineLevel="0" collapsed="false">
      <c r="A1" s="2" t="s">
        <v>56</v>
      </c>
    </row>
    <row r="2" customFormat="false" ht="15" hidden="false" customHeight="true" outlineLevel="0" collapsed="false">
      <c r="A2" s="9" t="s">
        <v>77</v>
      </c>
    </row>
    <row r="4" customFormat="false" ht="19.5" hidden="false" customHeight="true" outlineLevel="0" collapsed="false">
      <c r="A4" s="16" t="s">
        <v>78</v>
      </c>
      <c r="B4" s="16" t="s">
        <v>49</v>
      </c>
      <c r="C4" s="17" t="s">
        <v>8</v>
      </c>
      <c r="D4" s="17" t="s">
        <v>10</v>
      </c>
      <c r="E4" s="17" t="s">
        <v>12</v>
      </c>
      <c r="F4" s="17" t="s">
        <v>14</v>
      </c>
      <c r="G4" s="17" t="s">
        <v>16</v>
      </c>
      <c r="H4" s="17" t="s">
        <v>18</v>
      </c>
      <c r="I4" s="17" t="s">
        <v>20</v>
      </c>
      <c r="J4" s="17" t="s">
        <v>22</v>
      </c>
      <c r="K4" s="17" t="s">
        <v>24</v>
      </c>
      <c r="L4" s="17" t="s">
        <v>26</v>
      </c>
      <c r="M4" s="17" t="s">
        <v>28</v>
      </c>
      <c r="N4" s="17" t="s">
        <v>30</v>
      </c>
    </row>
    <row r="5" customFormat="false" ht="15" hidden="false" customHeight="true" outlineLevel="0" collapsed="false">
      <c r="A5" s="9" t="s">
        <v>158</v>
      </c>
      <c r="B5" s="9" t="s">
        <v>56</v>
      </c>
      <c r="C5" s="1" t="n">
        <v>3</v>
      </c>
      <c r="D5" s="1" t="n">
        <v>7</v>
      </c>
      <c r="E5" s="1" t="n">
        <v>5</v>
      </c>
      <c r="F5" s="1" t="n">
        <v>1</v>
      </c>
      <c r="G5" s="1" t="n">
        <v>0</v>
      </c>
      <c r="H5" s="1" t="n">
        <v>2</v>
      </c>
      <c r="I5" s="1" t="n">
        <v>8</v>
      </c>
      <c r="J5" s="1" t="n">
        <v>0.714</v>
      </c>
      <c r="K5" s="1" t="n">
        <v>12</v>
      </c>
      <c r="L5" s="1" t="n">
        <v>2</v>
      </c>
      <c r="M5" s="1" t="n">
        <v>4</v>
      </c>
      <c r="N5" s="1" t="n">
        <v>2.92</v>
      </c>
    </row>
    <row r="6" customFormat="false" ht="15" hidden="false" customHeight="true" outlineLevel="0" collapsed="false">
      <c r="A6" s="9" t="s">
        <v>159</v>
      </c>
      <c r="B6" s="9" t="s">
        <v>56</v>
      </c>
      <c r="C6" s="1" t="n">
        <v>3</v>
      </c>
      <c r="D6" s="1" t="n">
        <v>9</v>
      </c>
      <c r="E6" s="1" t="n">
        <v>5</v>
      </c>
      <c r="F6" s="1" t="n">
        <v>2</v>
      </c>
      <c r="G6" s="1" t="n">
        <v>1</v>
      </c>
      <c r="H6" s="1" t="n">
        <v>1</v>
      </c>
      <c r="I6" s="1" t="n">
        <v>5</v>
      </c>
      <c r="J6" s="1" t="n">
        <v>0.556</v>
      </c>
    </row>
    <row r="7" customFormat="false" ht="15" hidden="false" customHeight="true" outlineLevel="0" collapsed="false">
      <c r="A7" s="9" t="s">
        <v>160</v>
      </c>
      <c r="B7" s="9" t="s">
        <v>56</v>
      </c>
      <c r="C7" s="1" t="n">
        <v>3</v>
      </c>
      <c r="D7" s="1" t="n">
        <v>10</v>
      </c>
      <c r="E7" s="1" t="n">
        <v>4</v>
      </c>
      <c r="F7" s="1" t="n">
        <v>2</v>
      </c>
      <c r="G7" s="1" t="n">
        <v>0</v>
      </c>
      <c r="H7" s="1" t="n">
        <v>0</v>
      </c>
      <c r="I7" s="1" t="n">
        <v>4</v>
      </c>
      <c r="J7" s="1" t="n">
        <v>0.4</v>
      </c>
    </row>
    <row r="8" customFormat="false" ht="15" hidden="false" customHeight="true" outlineLevel="0" collapsed="false">
      <c r="A8" s="9" t="s">
        <v>161</v>
      </c>
      <c r="B8" s="9" t="s">
        <v>56</v>
      </c>
      <c r="C8" s="1" t="n">
        <v>2</v>
      </c>
      <c r="D8" s="1" t="n">
        <v>5</v>
      </c>
      <c r="E8" s="1" t="n">
        <v>3</v>
      </c>
      <c r="F8" s="1" t="n">
        <v>2</v>
      </c>
      <c r="G8" s="1" t="n">
        <v>0</v>
      </c>
      <c r="H8" s="1" t="n">
        <v>0</v>
      </c>
      <c r="I8" s="1" t="n">
        <v>4</v>
      </c>
      <c r="J8" s="1" t="n">
        <v>0.6</v>
      </c>
    </row>
    <row r="9" customFormat="false" ht="15" hidden="false" customHeight="true" outlineLevel="0" collapsed="false">
      <c r="A9" s="9" t="s">
        <v>162</v>
      </c>
      <c r="B9" s="9" t="s">
        <v>56</v>
      </c>
      <c r="C9" s="1" t="n">
        <v>2</v>
      </c>
      <c r="D9" s="1" t="n">
        <v>7</v>
      </c>
      <c r="E9" s="1" t="n">
        <v>3</v>
      </c>
      <c r="F9" s="1" t="n">
        <v>1</v>
      </c>
      <c r="G9" s="1" t="n">
        <v>2</v>
      </c>
      <c r="H9" s="1" t="n">
        <v>0</v>
      </c>
      <c r="I9" s="1" t="n">
        <v>3</v>
      </c>
      <c r="J9" s="1" t="n">
        <v>0.5</v>
      </c>
    </row>
    <row r="10" customFormat="false" ht="15" hidden="false" customHeight="true" outlineLevel="0" collapsed="false">
      <c r="A10" s="9" t="s">
        <v>163</v>
      </c>
      <c r="B10" s="9" t="s">
        <v>56</v>
      </c>
      <c r="C10" s="1" t="n">
        <v>3</v>
      </c>
      <c r="D10" s="1" t="n">
        <v>9</v>
      </c>
      <c r="E10" s="1" t="n">
        <v>8</v>
      </c>
      <c r="F10" s="1" t="n">
        <v>3</v>
      </c>
      <c r="G10" s="1" t="n">
        <v>0</v>
      </c>
      <c r="H10" s="1" t="n">
        <v>1</v>
      </c>
      <c r="I10" s="1" t="n">
        <v>2</v>
      </c>
      <c r="J10" s="1" t="n">
        <v>0.889</v>
      </c>
    </row>
    <row r="11" customFormat="false" ht="15" hidden="false" customHeight="true" outlineLevel="0" collapsed="false">
      <c r="A11" s="9" t="s">
        <v>164</v>
      </c>
      <c r="B11" s="9" t="s">
        <v>56</v>
      </c>
      <c r="C11" s="1" t="n">
        <v>3</v>
      </c>
      <c r="D11" s="1" t="n">
        <v>7</v>
      </c>
      <c r="E11" s="1" t="n">
        <v>5</v>
      </c>
      <c r="F11" s="1" t="n">
        <v>1</v>
      </c>
      <c r="G11" s="1" t="n">
        <v>0</v>
      </c>
      <c r="H11" s="1" t="n">
        <v>0</v>
      </c>
      <c r="I11" s="1" t="n">
        <v>2</v>
      </c>
      <c r="J11" s="1" t="n">
        <v>0.714</v>
      </c>
    </row>
    <row r="12" customFormat="false" ht="15" hidden="false" customHeight="true" outlineLevel="0" collapsed="false">
      <c r="A12" s="9" t="s">
        <v>165</v>
      </c>
      <c r="B12" s="9" t="s">
        <v>56</v>
      </c>
      <c r="C12" s="1" t="n">
        <v>2</v>
      </c>
      <c r="D12" s="1" t="n">
        <v>5</v>
      </c>
      <c r="E12" s="1" t="n">
        <v>2</v>
      </c>
      <c r="F12" s="1" t="n">
        <v>0</v>
      </c>
      <c r="G12" s="1" t="n">
        <v>0</v>
      </c>
      <c r="H12" s="1" t="n">
        <v>1</v>
      </c>
      <c r="I12" s="1" t="n">
        <v>2</v>
      </c>
      <c r="J12" s="1" t="n">
        <v>0.5</v>
      </c>
      <c r="K12" s="1" t="n">
        <v>3</v>
      </c>
      <c r="L12" s="1" t="n">
        <v>1</v>
      </c>
      <c r="M12" s="1" t="n">
        <v>1</v>
      </c>
      <c r="N12" s="1" t="n">
        <v>0</v>
      </c>
    </row>
    <row r="13" customFormat="false" ht="15" hidden="false" customHeight="true" outlineLevel="0" collapsed="false">
      <c r="A13" s="9" t="s">
        <v>166</v>
      </c>
      <c r="B13" s="9" t="s">
        <v>56</v>
      </c>
      <c r="C13" s="1" t="n">
        <v>1</v>
      </c>
      <c r="D13" s="1" t="n">
        <v>3</v>
      </c>
      <c r="E13" s="1" t="n">
        <v>1</v>
      </c>
      <c r="F13" s="1" t="n">
        <v>1</v>
      </c>
      <c r="G13" s="1" t="n">
        <v>0</v>
      </c>
      <c r="H13" s="1" t="n">
        <v>0</v>
      </c>
      <c r="I13" s="1" t="n">
        <v>2</v>
      </c>
      <c r="J13" s="1" t="n">
        <v>0.5</v>
      </c>
    </row>
    <row r="14" customFormat="false" ht="15" hidden="false" customHeight="true" outlineLevel="0" collapsed="false">
      <c r="A14" s="9" t="s">
        <v>167</v>
      </c>
      <c r="B14" s="9" t="s">
        <v>56</v>
      </c>
      <c r="C14" s="1" t="n">
        <v>1</v>
      </c>
      <c r="D14" s="1" t="n">
        <v>2</v>
      </c>
      <c r="E14" s="1" t="n">
        <v>1</v>
      </c>
      <c r="F14" s="1" t="n">
        <v>1</v>
      </c>
      <c r="G14" s="1" t="n">
        <v>0</v>
      </c>
      <c r="H14" s="1" t="n">
        <v>0</v>
      </c>
      <c r="I14" s="1" t="n">
        <v>1</v>
      </c>
      <c r="J14" s="1" t="n">
        <v>0.5</v>
      </c>
    </row>
    <row r="15" customFormat="false" ht="15" hidden="false" customHeight="true" outlineLevel="0" collapsed="false">
      <c r="A15" s="9" t="s">
        <v>168</v>
      </c>
      <c r="B15" s="9" t="s">
        <v>56</v>
      </c>
      <c r="C15" s="1" t="n">
        <v>3</v>
      </c>
      <c r="D15" s="1" t="n">
        <v>7</v>
      </c>
      <c r="E15" s="1" t="n">
        <v>2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0.333</v>
      </c>
    </row>
    <row r="16" customFormat="false" ht="15" hidden="false" customHeight="true" outlineLevel="0" collapsed="false">
      <c r="A16" s="9" t="s">
        <v>169</v>
      </c>
      <c r="B16" s="9" t="s">
        <v>56</v>
      </c>
      <c r="C16" s="1" t="n">
        <v>2</v>
      </c>
      <c r="D16" s="1" t="n">
        <v>4</v>
      </c>
      <c r="E16" s="1" t="n">
        <v>1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0.25</v>
      </c>
    </row>
    <row r="17" customFormat="false" ht="15" hidden="false" customHeight="true" outlineLevel="0" collapsed="false">
      <c r="A17" s="9" t="s">
        <v>170</v>
      </c>
      <c r="B17" s="9" t="s">
        <v>56</v>
      </c>
      <c r="C17" s="1" t="n">
        <v>2</v>
      </c>
      <c r="D17" s="1" t="n">
        <v>4</v>
      </c>
      <c r="E17" s="1" t="n">
        <v>1</v>
      </c>
      <c r="F17" s="1" t="n">
        <v>1</v>
      </c>
      <c r="G17" s="1" t="n">
        <v>0</v>
      </c>
      <c r="H17" s="1" t="n">
        <v>0</v>
      </c>
      <c r="I17" s="1" t="n">
        <v>0</v>
      </c>
      <c r="J17" s="1" t="n">
        <v>0.25</v>
      </c>
    </row>
    <row r="18" customFormat="false" ht="15" hidden="false" customHeight="true" outlineLevel="0" collapsed="false">
      <c r="A18" s="9" t="s">
        <v>171</v>
      </c>
      <c r="B18" s="9" t="s">
        <v>56</v>
      </c>
      <c r="C18" s="1" t="n">
        <v>3</v>
      </c>
      <c r="D18" s="1" t="n">
        <v>8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</row>
    <row r="19" customFormat="false" ht="15" hidden="false" customHeight="true" outlineLevel="0" collapsed="false">
      <c r="A19" s="9" t="s">
        <v>172</v>
      </c>
      <c r="B19" s="9" t="s">
        <v>56</v>
      </c>
      <c r="C19" s="1" t="n">
        <v>1</v>
      </c>
      <c r="D19" s="1" t="n">
        <v>2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</row>
    <row r="20" customFormat="false" ht="15" hidden="false" customHeight="true" outlineLevel="0" collapsed="false">
      <c r="A20" s="9" t="s">
        <v>173</v>
      </c>
      <c r="B20" s="9" t="s">
        <v>56</v>
      </c>
      <c r="C20" s="1" t="n">
        <v>3</v>
      </c>
      <c r="D20" s="1" t="n">
        <v>7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2026-09-11T13:47:16Z</dcterms:created>
  <dc:creator>openpyxl</dc:creator>
  <dc:description/>
  <dc:language>en-US</dc:language>
  <cp:lastModifiedBy/>
  <dcterms:modified xsi:type="dcterms:W3CDTF">2026-10-02T06:55:59Z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