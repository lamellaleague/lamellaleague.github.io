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Tabla" sheetId="2" state="visible" r:id="rId4"/>
    <sheet name="Resultados" sheetId="3" state="visible" r:id="rId5"/>
    <sheet name="Todos" sheetId="4" state="visible" r:id="rId6"/>
    <sheet name="Pinoleros 505" sheetId="5" state="visible" r:id="rId7"/>
    <sheet name="Warthogs" sheetId="6" state="visible" r:id="rId8"/>
    <sheet name="Goofy's Squad" sheetId="7" state="visible" r:id="rId9"/>
    <sheet name="La Comisión" sheetId="8" state="visible" r:id="rId10"/>
    <sheet name="Drinks" sheetId="9" state="visible" r:id="rId11"/>
  </sheets>
  <definedNames>
    <definedName function="false" hidden="true" localSheetId="6" name="_xlnm._FilterDatabase" vbProcedure="false">'Goofy''s Squad'!$A$4:$N$24</definedName>
    <definedName function="false" hidden="true" localSheetId="7" name="_xlnm._FilterDatabase" vbProcedure="false">'La Comisión'!$A$4:$N$14</definedName>
    <definedName function="false" hidden="true" localSheetId="4" name="_xlnm._FilterDatabase" vbProcedure="false">'Pinoleros 505'!$A$4:$N$22</definedName>
    <definedName function="false" hidden="true" localSheetId="3" name="_xlnm._FilterDatabase" vbProcedure="false">Todos!$A$4:$N$66</definedName>
    <definedName function="false" hidden="true" localSheetId="5" name="_xlnm._FilterDatabase" vbProcedure="false">Warthogs!$A$4:$N$18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<sst xmlns="http://schemas.openxmlformats.org/spreadsheetml/2006/main" count="427" uniqueCount="138">
  <si>
    <t xml:space="preserve">Números de la JACK · La Mella League</t>
  </si>
  <si>
    <t xml:space="preserve">Liga</t>
  </si>
  <si>
    <t xml:space="preserve">JACK Andy Alonso · Temporada 21 · jueves en el Estadio Municipal Andy Alonso</t>
  </si>
  <si>
    <t xml:space="preserve">Corte</t>
  </si>
  <si>
    <t xml:space="preserve">Después de la jornada 1 (jueves 10 de septiembre de 2026)</t>
  </si>
  <si>
    <t xml:space="preserve">Fuente</t>
  </si>
  <si>
    <t xml:space="preserve">GameChanger, export de líderes del viernes 11 de septiembre de 2026. Los números son los que cargó el anotador.</t>
  </si>
  <si>
    <t xml:space="preserve">Hojas</t>
  </si>
  <si>
    <t xml:space="preserve">«Todos» trae a los 62 jugadores; hay una hoja por equipo con su total; «Resultados» y «Tabla» traen los juegos y las posiciones.</t>
  </si>
  <si>
    <t xml:space="preserve">Premios</t>
  </si>
  <si>
    <t xml:space="preserve">Impulsadas (CI) en bateo y juegos ganados (JG) en pitcheo. Filtro: haber jugado al menos el 60% de los juegos del equipo. Se congelan con el último juego de la fase regular.</t>
  </si>
  <si>
    <t xml:space="preserve">Nota</t>
  </si>
  <si>
    <t xml:space="preserve">Nombres tal como están en GameChanger. Si tu nombre está incompleto o mal escrito, pídele a tu DT que lo corrija con la liga.</t>
  </si>
  <si>
    <t xml:space="preserve">Abreviaturas</t>
  </si>
  <si>
    <t xml:space="preserve">JJ</t>
  </si>
  <si>
    <t xml:space="preserve">Juegos jugados</t>
  </si>
  <si>
    <t xml:space="preserve">AP</t>
  </si>
  <si>
    <t xml:space="preserve">Apariciones al plato</t>
  </si>
  <si>
    <t xml:space="preserve">H</t>
  </si>
  <si>
    <t xml:space="preserve">Hits</t>
  </si>
  <si>
    <t xml:space="preserve">2B</t>
  </si>
  <si>
    <t xml:space="preserve">Dobles</t>
  </si>
  <si>
    <t xml:space="preserve">3B</t>
  </si>
  <si>
    <t xml:space="preserve">Triples</t>
  </si>
  <si>
    <t xml:space="preserve">HR</t>
  </si>
  <si>
    <t xml:space="preserve">Jonrones</t>
  </si>
  <si>
    <t xml:space="preserve">CI</t>
  </si>
  <si>
    <t xml:space="preserve">Carreras impulsadas</t>
  </si>
  <si>
    <t xml:space="preserve">PRO</t>
  </si>
  <si>
    <t xml:space="preserve">Promedio de bateo (calculado por GameChanger)</t>
  </si>
  <si>
    <t xml:space="preserve">EL</t>
  </si>
  <si>
    <t xml:space="preserve">Entradas lanzadas</t>
  </si>
  <si>
    <t xml:space="preserve">JG</t>
  </si>
  <si>
    <t xml:space="preserve">Juegos ganados</t>
  </si>
  <si>
    <t xml:space="preserve">K</t>
  </si>
  <si>
    <t xml:space="preserve">Ponches</t>
  </si>
  <si>
    <t xml:space="preserve">EFE</t>
  </si>
  <si>
    <t xml:space="preserve">Efectividad sobre 7 entradas (calculada por GameChanger)</t>
  </si>
  <si>
    <t xml:space="preserve">Tabla de posiciones</t>
  </si>
  <si>
    <t xml:space="preserve">Se calcula sola desde la hoja «Resultados». El orden sigue el reglamento de desempates de La Mella y se revisa cada semana.</t>
  </si>
  <si>
    <t xml:space="preserve">#</t>
  </si>
  <si>
    <t xml:space="preserve">Equipo</t>
  </si>
  <si>
    <t xml:space="preserve">G</t>
  </si>
  <si>
    <t xml:space="preserve">P</t>
  </si>
  <si>
    <t xml:space="preserve">CA</t>
  </si>
  <si>
    <t xml:space="preserve">CP</t>
  </si>
  <si>
    <t xml:space="preserve">DIF</t>
  </si>
  <si>
    <t xml:space="preserve">PCT</t>
  </si>
  <si>
    <t xml:space="preserve">1</t>
  </si>
  <si>
    <t xml:space="preserve">Pinoleros 505</t>
  </si>
  <si>
    <t xml:space="preserve">2</t>
  </si>
  <si>
    <t xml:space="preserve">Warthogs</t>
  </si>
  <si>
    <t xml:space="preserve">3</t>
  </si>
  <si>
    <t xml:space="preserve">Goofy's Squad</t>
  </si>
  <si>
    <t xml:space="preserve">4</t>
  </si>
  <si>
    <t xml:space="preserve">La Comisión</t>
  </si>
  <si>
    <t xml:space="preserve">—</t>
  </si>
  <si>
    <t xml:space="preserve">Drinks</t>
  </si>
  <si>
    <t xml:space="preserve">Desempate tras la jornada 1: Pinoleros 505 sobre Warthogs y Goofy’s Squad sobre La Comisión por diferencia de carreras (no se han enfrentado). Drinks no ha jugado.</t>
  </si>
  <si>
    <t xml:space="preserve">Resultados</t>
  </si>
  <si>
    <t xml:space="preserve">Fuente: GameChanger (marcador final de cada juego).</t>
  </si>
  <si>
    <t xml:space="preserve">Jornada</t>
  </si>
  <si>
    <t xml:space="preserve">Fecha</t>
  </si>
  <si>
    <t xml:space="preserve">Hora</t>
  </si>
  <si>
    <t xml:space="preserve">Visitante</t>
  </si>
  <si>
    <t xml:space="preserve">C</t>
  </si>
  <si>
    <t xml:space="preserve">Local</t>
  </si>
  <si>
    <t xml:space="preserve">Entradas</t>
  </si>
  <si>
    <t xml:space="preserve">jue 10 sep</t>
  </si>
  <si>
    <t xml:space="preserve">8:00 pm</t>
  </si>
  <si>
    <t xml:space="preserve">9:30 pm</t>
  </si>
  <si>
    <t xml:space="preserve">Todos los jugadores</t>
  </si>
  <si>
    <t xml:space="preserve">JACK Andy Alonso · Temporada 21 · corte después de la jornada 1 (jueves 10 sep 2026) · Fuente: GameChanger, export del 11 sep 2026</t>
  </si>
  <si>
    <t xml:space="preserve">Jugador</t>
  </si>
  <si>
    <t xml:space="preserve">Brando Hernandez</t>
  </si>
  <si>
    <t xml:space="preserve">Josue Mayorga</t>
  </si>
  <si>
    <t xml:space="preserve">Gerald Arriola</t>
  </si>
  <si>
    <t xml:space="preserve">Kevin Obando</t>
  </si>
  <si>
    <t xml:space="preserve">Neymar Valle</t>
  </si>
  <si>
    <t xml:space="preserve">Bryan Hernandez</t>
  </si>
  <si>
    <t xml:space="preserve">Julio Lanuza</t>
  </si>
  <si>
    <t xml:space="preserve">Andy Hill</t>
  </si>
  <si>
    <t xml:space="preserve">Elmer Meneses</t>
  </si>
  <si>
    <t xml:space="preserve">Jose Brenes</t>
  </si>
  <si>
    <t xml:space="preserve">Moises Reyes</t>
  </si>
  <si>
    <t xml:space="preserve">Norvin Osorio</t>
  </si>
  <si>
    <t xml:space="preserve">Rodrigo Mejia</t>
  </si>
  <si>
    <t xml:space="preserve">Allan Nuñez</t>
  </si>
  <si>
    <t xml:space="preserve">Frambely Gutierrez</t>
  </si>
  <si>
    <t xml:space="preserve">Jose Ortiz</t>
  </si>
  <si>
    <t xml:space="preserve">Moises Moraga</t>
  </si>
  <si>
    <t xml:space="preserve">Gustavo Lopez</t>
  </si>
  <si>
    <t xml:space="preserve">Abdiel Cerrud</t>
  </si>
  <si>
    <t xml:space="preserve">Alexander Beitia</t>
  </si>
  <si>
    <t xml:space="preserve">Manuel Aizpurua</t>
  </si>
  <si>
    <t xml:space="preserve">Hector Ruiz</t>
  </si>
  <si>
    <t xml:space="preserve">Jose Donado</t>
  </si>
  <si>
    <t xml:space="preserve">Moises Tenorio</t>
  </si>
  <si>
    <t xml:space="preserve">German Castro</t>
  </si>
  <si>
    <t xml:space="preserve">Martin Castillero Jr</t>
  </si>
  <si>
    <t xml:space="preserve">Ali Piña</t>
  </si>
  <si>
    <t xml:space="preserve">Hector Vergara</t>
  </si>
  <si>
    <t xml:space="preserve">Johan Castillo</t>
  </si>
  <si>
    <t xml:space="preserve">Josue Cerrud</t>
  </si>
  <si>
    <t xml:space="preserve">Javier Nay</t>
  </si>
  <si>
    <t xml:space="preserve">Martin Castillero</t>
  </si>
  <si>
    <t xml:space="preserve">Gustavo</t>
  </si>
  <si>
    <t xml:space="preserve">Deiker</t>
  </si>
  <si>
    <t xml:space="preserve">Francksco G</t>
  </si>
  <si>
    <t xml:space="preserve">Manu</t>
  </si>
  <si>
    <t xml:space="preserve">Gabriel Chong</t>
  </si>
  <si>
    <t xml:space="preserve">Luis Silva</t>
  </si>
  <si>
    <t xml:space="preserve">Ricardo Adames</t>
  </si>
  <si>
    <t xml:space="preserve">Roberto</t>
  </si>
  <si>
    <t xml:space="preserve">Yurlo</t>
  </si>
  <si>
    <t xml:space="preserve">Anyerigue</t>
  </si>
  <si>
    <t xml:space="preserve">Banyeir Mojica</t>
  </si>
  <si>
    <t xml:space="preserve">Fernando Jr</t>
  </si>
  <si>
    <t xml:space="preserve">Franco</t>
  </si>
  <si>
    <t xml:space="preserve">Heber</t>
  </si>
  <si>
    <t xml:space="preserve">Joaco Lombar Jr</t>
  </si>
  <si>
    <t xml:space="preserve">Manu Pitty</t>
  </si>
  <si>
    <t xml:space="preserve">Marcano</t>
  </si>
  <si>
    <t xml:space="preserve">Randy</t>
  </si>
  <si>
    <t xml:space="preserve">Rigoberto</t>
  </si>
  <si>
    <t xml:space="preserve">Taken Viñero</t>
  </si>
  <si>
    <t xml:space="preserve">Cesar Quiu</t>
  </si>
  <si>
    <t xml:space="preserve">Alberto Orozco</t>
  </si>
  <si>
    <t xml:space="preserve">Eric Sugasti</t>
  </si>
  <si>
    <t xml:space="preserve">Javier Lao</t>
  </si>
  <si>
    <t xml:space="preserve">Jose Isaac Martinez</t>
  </si>
  <si>
    <t xml:space="preserve">Adrian Mejia</t>
  </si>
  <si>
    <t xml:space="preserve">Edwin Perez</t>
  </si>
  <si>
    <t xml:space="preserve">Jostin Serrano</t>
  </si>
  <si>
    <t xml:space="preserve">Julio Torres</t>
  </si>
  <si>
    <t xml:space="preserve">Reymond Delisser</t>
  </si>
  <si>
    <t xml:space="preserve">Total del equipo</t>
  </si>
  <si>
    <t xml:space="preserve">Todavía no ha jugado: descansó en la jornada 1.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</si>
</sst>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+0;\-0;0"/>
    <numFmt numFmtId="166" formatCode="0.000"/>
    <numFmt numFmtId="167" formatCode="0.0"/>
    <numFmt numFmtId="168" formatCode="0.00"/>
    <numFmt numFmtId="169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140E"/>
        <bgColor rgb="FF000000"/>
      </patternFill>
    </fill>
    <fill>
      <patternFill patternType="solid">
        <fgColor rgb="FFF3F1E7"/>
        <bgColor rgb="FFDDEFEC"/>
      </patternFill>
    </fill>
    <fill>
      <patternFill patternType="solid">
        <fgColor rgb="FFDDEFEC"/>
        <bgColor rgb="FFF3F1E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14140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4140E"/>
          <bgColor rgb="FF000000"/>
        </patternFill>
      </fill>
    </dxf>
    <dxf>
      <fill>
        <patternFill patternType="solid">
          <fgColor rgb="FFF3F1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1E7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10" customFormat="false" ht="15" hidden="false" customHeight="false" outlineLevel="0" collapsed="false">
      <c r="A10" s="2" t="s">
        <v>13</v>
      </c>
    </row>
    <row r="11" customFormat="false" ht="15" hidden="false" customHeight="false" outlineLevel="0" collapsed="false">
      <c r="A11" s="2" t="s">
        <v>14</v>
      </c>
      <c r="B11" s="4" t="s">
        <v>15</v>
      </c>
    </row>
    <row r="12" customFormat="false" ht="15" hidden="false" customHeight="false" outlineLevel="0" collapsed="false">
      <c r="A12" s="2" t="s">
        <v>16</v>
      </c>
      <c r="B12" s="4" t="s">
        <v>17</v>
      </c>
    </row>
    <row r="13" customFormat="false" ht="15" hidden="false" customHeight="false" outlineLevel="0" collapsed="false">
      <c r="A13" s="2" t="s">
        <v>18</v>
      </c>
      <c r="B13" s="4" t="s">
        <v>19</v>
      </c>
    </row>
    <row r="14" customFormat="false" ht="15" hidden="false" customHeight="false" outlineLevel="0" collapsed="false">
      <c r="A14" s="2" t="s">
        <v>20</v>
      </c>
      <c r="B14" s="4" t="s">
        <v>21</v>
      </c>
    </row>
    <row r="15" customFormat="false" ht="15" hidden="false" customHeight="false" outlineLevel="0" collapsed="false">
      <c r="A15" s="2" t="s">
        <v>22</v>
      </c>
      <c r="B15" s="4" t="s">
        <v>23</v>
      </c>
    </row>
    <row r="16" customFormat="false" ht="15" hidden="false" customHeight="false" outlineLevel="0" collapsed="false">
      <c r="A16" s="2" t="s">
        <v>24</v>
      </c>
      <c r="B16" s="4" t="s">
        <v>25</v>
      </c>
    </row>
    <row r="17" customFormat="false" ht="15" hidden="false" customHeight="false" outlineLevel="0" collapsed="false">
      <c r="A17" s="2" t="s">
        <v>26</v>
      </c>
      <c r="B17" s="4" t="s">
        <v>27</v>
      </c>
    </row>
    <row r="18" customFormat="false" ht="15" hidden="false" customHeight="false" outlineLevel="0" collapsed="false">
      <c r="A18" s="2" t="s">
        <v>28</v>
      </c>
      <c r="B18" s="4" t="s">
        <v>29</v>
      </c>
    </row>
    <row r="19" customFormat="false" ht="15" hidden="false" customHeight="false" outlineLevel="0" collapsed="false">
      <c r="A19" s="2" t="s">
        <v>30</v>
      </c>
      <c r="B19" s="4" t="s">
        <v>31</v>
      </c>
    </row>
    <row r="20" customFormat="false" ht="15" hidden="false" customHeight="false" outlineLevel="0" collapsed="false">
      <c r="A20" s="2" t="s">
        <v>32</v>
      </c>
      <c r="B20" s="4" t="s">
        <v>33</v>
      </c>
    </row>
    <row r="21" customFormat="false" ht="15" hidden="false" customHeight="false" outlineLevel="0" collapsed="false">
      <c r="A21" s="2" t="s">
        <v>34</v>
      </c>
      <c r="B21" s="4" t="s">
        <v>35</v>
      </c>
    </row>
    <row r="22" customFormat="false" ht="15" hidden="false" customHeight="false" outlineLevel="0" collapsed="false">
      <c r="A22" s="2" t="s">
        <v>36</v>
      </c>
      <c r="B22" s="4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7" min="3" style="0" width="6"/>
    <col collapsed="false" customWidth="true" hidden="false" outlineLevel="0" max="8" min="8" style="0" width="7"/>
    <col collapsed="false" customWidth="true" hidden="false" outlineLevel="0" max="9" min="9" style="0" width="8"/>
  </cols>
  <sheetData>
    <row r="1" customFormat="false" ht="19.7" hidden="false" customHeight="false" outlineLevel="0" collapsed="false">
      <c r="A1" s="1" t="s">
        <v>38</v>
      </c>
    </row>
    <row r="2" customFormat="false" ht="15" hidden="false" customHeight="false" outlineLevel="0" collapsed="false">
      <c r="A2" s="5" t="s">
        <v>39</v>
      </c>
    </row>
    <row r="4" customFormat="false" ht="15" hidden="false" customHeight="false" outlineLevel="0" collapsed="false">
      <c r="A4" s="6" t="s">
        <v>40</v>
      </c>
      <c r="B4" s="6" t="s">
        <v>41</v>
      </c>
      <c r="C4" s="6" t="s">
        <v>14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  <c r="I4" s="6" t="s">
        <v>47</v>
      </c>
    </row>
    <row r="5" customFormat="false" ht="15" hidden="false" customHeight="false" outlineLevel="0" collapsed="false">
      <c r="A5" s="7" t="s">
        <v>48</v>
      </c>
      <c r="B5" s="8" t="s">
        <v>49</v>
      </c>
      <c r="C5" s="7" t="n">
        <f aca="false">COUNTIF(Resultados!$D$5:$D$200,$B5)+COUNTIF(Resultados!$F$5:$F$200,$B5)</f>
        <v>1</v>
      </c>
      <c r="D5" s="7" t="n">
        <f aca="false">SUMPRODUCT((Resultados!$D$5:$D$200=$B5)*(Resultados!$E$5:$E$200&gt;Resultados!$G$5:$G$200))+SUMPRODUCT((Resultados!$F$5:$F$200=$B5)*(Resultados!$G$5:$G$200&gt;Resultados!$E$5:$E$200))</f>
        <v>1</v>
      </c>
      <c r="E5" s="7" t="n">
        <f aca="false">SUMPRODUCT((Resultados!$D$5:$D$200=$B5)*(Resultados!$E$5:$E$200&lt;Resultados!$G$5:$G$200))+SUMPRODUCT((Resultados!$F$5:$F$200=$B5)*(Resultados!$G$5:$G$200&lt;Resultados!$E$5:$E$200))</f>
        <v>0</v>
      </c>
      <c r="F5" s="7" t="n">
        <f aca="false">SUMIF(Resultados!$D$5:$D$200,$B5,Resultados!$E$5:$E$200)+SUMIF(Resultados!$F$5:$F$200,$B5,Resultados!$G$5:$G$200)</f>
        <v>21</v>
      </c>
      <c r="G5" s="7" t="n">
        <f aca="false">SUMIF(Resultados!$D$5:$D$200,$B5,Resultados!$G$5:$G$200)+SUMIF(Resultados!$F$5:$F$200,$B5,Resultados!$E$5:$E$200)</f>
        <v>1</v>
      </c>
      <c r="H5" s="9" t="n">
        <f aca="false">F5-G5</f>
        <v>20</v>
      </c>
      <c r="I5" s="10" t="n">
        <f aca="false">IF(C5=0,"",D5/C5)</f>
        <v>1</v>
      </c>
    </row>
    <row r="6" customFormat="false" ht="15" hidden="false" customHeight="false" outlineLevel="0" collapsed="false">
      <c r="A6" s="7" t="s">
        <v>50</v>
      </c>
      <c r="B6" s="8" t="s">
        <v>51</v>
      </c>
      <c r="C6" s="7" t="n">
        <f aca="false">COUNTIF(Resultados!$D$5:$D$200,$B6)+COUNTIF(Resultados!$F$5:$F$200,$B6)</f>
        <v>1</v>
      </c>
      <c r="D6" s="7" t="n">
        <f aca="false">SUMPRODUCT((Resultados!$D$5:$D$200=$B6)*(Resultados!$E$5:$E$200&gt;Resultados!$G$5:$G$200))+SUMPRODUCT((Resultados!$F$5:$F$200=$B6)*(Resultados!$G$5:$G$200&gt;Resultados!$E$5:$E$200))</f>
        <v>1</v>
      </c>
      <c r="E6" s="7" t="n">
        <f aca="false">SUMPRODUCT((Resultados!$D$5:$D$200=$B6)*(Resultados!$E$5:$E$200&lt;Resultados!$G$5:$G$200))+SUMPRODUCT((Resultados!$F$5:$F$200=$B6)*(Resultados!$G$5:$G$200&lt;Resultados!$E$5:$E$200))</f>
        <v>0</v>
      </c>
      <c r="F6" s="7" t="n">
        <f aca="false">SUMIF(Resultados!$D$5:$D$200,$B6,Resultados!$E$5:$E$200)+SUMIF(Resultados!$F$5:$F$200,$B6,Resultados!$G$5:$G$200)</f>
        <v>17</v>
      </c>
      <c r="G6" s="7" t="n">
        <f aca="false">SUMIF(Resultados!$D$5:$D$200,$B6,Resultados!$G$5:$G$200)+SUMIF(Resultados!$F$5:$F$200,$B6,Resultados!$E$5:$E$200)</f>
        <v>6</v>
      </c>
      <c r="H6" s="9" t="n">
        <f aca="false">F6-G6</f>
        <v>11</v>
      </c>
      <c r="I6" s="10" t="n">
        <f aca="false">IF(C6=0,"",D6/C6)</f>
        <v>1</v>
      </c>
    </row>
    <row r="7" customFormat="false" ht="15" hidden="false" customHeight="false" outlineLevel="0" collapsed="false">
      <c r="A7" s="7" t="s">
        <v>52</v>
      </c>
      <c r="B7" s="8" t="s">
        <v>53</v>
      </c>
      <c r="C7" s="7" t="n">
        <f aca="false">COUNTIF(Resultados!$D$5:$D$200,$B7)+COUNTIF(Resultados!$F$5:$F$200,$B7)</f>
        <v>1</v>
      </c>
      <c r="D7" s="7" t="n">
        <f aca="false">SUMPRODUCT((Resultados!$D$5:$D$200=$B7)*(Resultados!$E$5:$E$200&gt;Resultados!$G$5:$G$200))+SUMPRODUCT((Resultados!$F$5:$F$200=$B7)*(Resultados!$G$5:$G$200&gt;Resultados!$E$5:$E$200))</f>
        <v>0</v>
      </c>
      <c r="E7" s="7" t="n">
        <f aca="false">SUMPRODUCT((Resultados!$D$5:$D$200=$B7)*(Resultados!$E$5:$E$200&lt;Resultados!$G$5:$G$200))+SUMPRODUCT((Resultados!$F$5:$F$200=$B7)*(Resultados!$G$5:$G$200&lt;Resultados!$E$5:$E$200))</f>
        <v>1</v>
      </c>
      <c r="F7" s="7" t="n">
        <f aca="false">SUMIF(Resultados!$D$5:$D$200,$B7,Resultados!$E$5:$E$200)+SUMIF(Resultados!$F$5:$F$200,$B7,Resultados!$G$5:$G$200)</f>
        <v>6</v>
      </c>
      <c r="G7" s="7" t="n">
        <f aca="false">SUMIF(Resultados!$D$5:$D$200,$B7,Resultados!$G$5:$G$200)+SUMIF(Resultados!$F$5:$F$200,$B7,Resultados!$E$5:$E$200)</f>
        <v>17</v>
      </c>
      <c r="H7" s="9" t="n">
        <f aca="false">F7-G7</f>
        <v>-11</v>
      </c>
      <c r="I7" s="10" t="n">
        <f aca="false">IF(C7=0,"",D7/C7)</f>
        <v>0</v>
      </c>
    </row>
    <row r="8" customFormat="false" ht="15" hidden="false" customHeight="false" outlineLevel="0" collapsed="false">
      <c r="A8" s="7" t="s">
        <v>54</v>
      </c>
      <c r="B8" s="8" t="s">
        <v>55</v>
      </c>
      <c r="C8" s="7" t="n">
        <f aca="false">COUNTIF(Resultados!$D$5:$D$200,$B8)+COUNTIF(Resultados!$F$5:$F$200,$B8)</f>
        <v>1</v>
      </c>
      <c r="D8" s="7" t="n">
        <f aca="false">SUMPRODUCT((Resultados!$D$5:$D$200=$B8)*(Resultados!$E$5:$E$200&gt;Resultados!$G$5:$G$200))+SUMPRODUCT((Resultados!$F$5:$F$200=$B8)*(Resultados!$G$5:$G$200&gt;Resultados!$E$5:$E$200))</f>
        <v>0</v>
      </c>
      <c r="E8" s="7" t="n">
        <f aca="false">SUMPRODUCT((Resultados!$D$5:$D$200=$B8)*(Resultados!$E$5:$E$200&lt;Resultados!$G$5:$G$200))+SUMPRODUCT((Resultados!$F$5:$F$200=$B8)*(Resultados!$G$5:$G$200&lt;Resultados!$E$5:$E$200))</f>
        <v>1</v>
      </c>
      <c r="F8" s="7" t="n">
        <f aca="false">SUMIF(Resultados!$D$5:$D$200,$B8,Resultados!$E$5:$E$200)+SUMIF(Resultados!$F$5:$F$200,$B8,Resultados!$G$5:$G$200)</f>
        <v>1</v>
      </c>
      <c r="G8" s="7" t="n">
        <f aca="false">SUMIF(Resultados!$D$5:$D$200,$B8,Resultados!$G$5:$G$200)+SUMIF(Resultados!$F$5:$F$200,$B8,Resultados!$E$5:$E$200)</f>
        <v>21</v>
      </c>
      <c r="H8" s="9" t="n">
        <f aca="false">F8-G8</f>
        <v>-20</v>
      </c>
      <c r="I8" s="10" t="n">
        <f aca="false">IF(C8=0,"",D8/C8)</f>
        <v>0</v>
      </c>
    </row>
    <row r="9" customFormat="false" ht="15" hidden="false" customHeight="false" outlineLevel="0" collapsed="false">
      <c r="A9" s="7" t="s">
        <v>56</v>
      </c>
      <c r="B9" s="8" t="s">
        <v>57</v>
      </c>
      <c r="C9" s="7" t="n">
        <f aca="false">COUNTIF(Resultados!$D$5:$D$200,$B9)+COUNTIF(Resultados!$F$5:$F$200,$B9)</f>
        <v>0</v>
      </c>
      <c r="D9" s="7" t="n">
        <f aca="false">SUMPRODUCT((Resultados!$D$5:$D$200=$B9)*(Resultados!$E$5:$E$200&gt;Resultados!$G$5:$G$200))+SUMPRODUCT((Resultados!$F$5:$F$200=$B9)*(Resultados!$G$5:$G$200&gt;Resultados!$E$5:$E$200))</f>
        <v>0</v>
      </c>
      <c r="E9" s="7" t="n">
        <f aca="false">SUMPRODUCT((Resultados!$D$5:$D$200=$B9)*(Resultados!$E$5:$E$200&lt;Resultados!$G$5:$G$200))+SUMPRODUCT((Resultados!$F$5:$F$200=$B9)*(Resultados!$G$5:$G$200&lt;Resultados!$E$5:$E$200))</f>
        <v>0</v>
      </c>
      <c r="F9" s="7" t="n">
        <f aca="false">SUMIF(Resultados!$D$5:$D$200,$B9,Resultados!$E$5:$E$200)+SUMIF(Resultados!$F$5:$F$200,$B9,Resultados!$G$5:$G$200)</f>
        <v>0</v>
      </c>
      <c r="G9" s="7" t="n">
        <f aca="false">SUMIF(Resultados!$D$5:$D$200,$B9,Resultados!$G$5:$G$200)+SUMIF(Resultados!$F$5:$F$200,$B9,Resultados!$E$5:$E$200)</f>
        <v>0</v>
      </c>
      <c r="H9" s="9" t="n">
        <f aca="false">F9-G9</f>
        <v>0</v>
      </c>
      <c r="I9" s="10" t="str">
        <f aca="false">IF(C9=0,"",D9/C9)</f>
        <v/>
      </c>
    </row>
    <row r="11" customFormat="false" ht="15" hidden="false" customHeight="false" outlineLevel="0" collapsed="false">
      <c r="A11" s="5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6"/>
    <col collapsed="false" customWidth="true" hidden="false" outlineLevel="0" max="8" min="8" style="0" width="10"/>
  </cols>
  <sheetData>
    <row r="1" customFormat="false" ht="19.7" hidden="false" customHeight="false" outlineLevel="0" collapsed="false">
      <c r="A1" s="1" t="s">
        <v>59</v>
      </c>
    </row>
    <row r="2" customFormat="false" ht="15" hidden="false" customHeight="false" outlineLevel="0" collapsed="false">
      <c r="A2" s="5" t="s">
        <v>60</v>
      </c>
    </row>
    <row r="4" customFormat="false" ht="15" hidden="false" customHeight="false" outlineLevel="0" collapsed="false">
      <c r="A4" s="6" t="s">
        <v>61</v>
      </c>
      <c r="B4" s="6" t="s">
        <v>62</v>
      </c>
      <c r="C4" s="6" t="s">
        <v>63</v>
      </c>
      <c r="D4" s="6" t="s">
        <v>64</v>
      </c>
      <c r="E4" s="6" t="s">
        <v>65</v>
      </c>
      <c r="F4" s="6" t="s">
        <v>66</v>
      </c>
      <c r="G4" s="6" t="s">
        <v>65</v>
      </c>
      <c r="H4" s="6" t="s">
        <v>67</v>
      </c>
    </row>
    <row r="5" customFormat="false" ht="15" hidden="false" customHeight="false" outlineLevel="0" collapsed="false">
      <c r="A5" s="7" t="n">
        <v>1</v>
      </c>
      <c r="B5" s="7" t="s">
        <v>68</v>
      </c>
      <c r="C5" s="7" t="s">
        <v>69</v>
      </c>
      <c r="D5" s="11" t="s">
        <v>53</v>
      </c>
      <c r="E5" s="7" t="n">
        <v>6</v>
      </c>
      <c r="F5" s="11" t="s">
        <v>51</v>
      </c>
      <c r="G5" s="7" t="n">
        <v>17</v>
      </c>
      <c r="H5" s="7" t="n">
        <v>5</v>
      </c>
    </row>
    <row r="6" customFormat="false" ht="15" hidden="false" customHeight="false" outlineLevel="0" collapsed="false">
      <c r="A6" s="7" t="n">
        <v>1</v>
      </c>
      <c r="B6" s="7" t="s">
        <v>68</v>
      </c>
      <c r="C6" s="7" t="s">
        <v>70</v>
      </c>
      <c r="D6" s="11" t="s">
        <v>55</v>
      </c>
      <c r="E6" s="7" t="n">
        <v>1</v>
      </c>
      <c r="F6" s="11" t="s">
        <v>49</v>
      </c>
      <c r="G6" s="7" t="n">
        <v>21</v>
      </c>
      <c r="H6" s="7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9" min="3" style="0" width="6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8"/>
  </cols>
  <sheetData>
    <row r="1" customFormat="false" ht="19.7" hidden="false" customHeight="false" outlineLevel="0" collapsed="false">
      <c r="A1" s="1" t="s">
        <v>71</v>
      </c>
    </row>
    <row r="2" customFormat="false" ht="15" hidden="false" customHeight="false" outlineLevel="0" collapsed="false">
      <c r="A2" s="5" t="s">
        <v>72</v>
      </c>
    </row>
    <row r="4" customFormat="false" ht="19.5" hidden="false" customHeight="true" outlineLevel="0" collapsed="false">
      <c r="A4" s="12" t="s">
        <v>73</v>
      </c>
      <c r="B4" s="12" t="s">
        <v>41</v>
      </c>
      <c r="C4" s="13" t="s">
        <v>14</v>
      </c>
      <c r="D4" s="13" t="s">
        <v>16</v>
      </c>
      <c r="E4" s="13" t="s">
        <v>18</v>
      </c>
      <c r="F4" s="13" t="s">
        <v>20</v>
      </c>
      <c r="G4" s="13" t="s">
        <v>22</v>
      </c>
      <c r="H4" s="13" t="s">
        <v>24</v>
      </c>
      <c r="I4" s="13" t="s">
        <v>26</v>
      </c>
      <c r="J4" s="13" t="s">
        <v>28</v>
      </c>
      <c r="K4" s="13" t="s">
        <v>30</v>
      </c>
      <c r="L4" s="13" t="s">
        <v>32</v>
      </c>
      <c r="M4" s="13" t="s">
        <v>34</v>
      </c>
      <c r="N4" s="13" t="s">
        <v>36</v>
      </c>
    </row>
    <row r="5" customFormat="false" ht="15" hidden="false" customHeight="false" outlineLevel="0" collapsed="false">
      <c r="A5" s="4" t="s">
        <v>74</v>
      </c>
      <c r="B5" s="4" t="s">
        <v>49</v>
      </c>
      <c r="C5" s="7" t="n">
        <v>1</v>
      </c>
      <c r="D5" s="7" t="n">
        <v>2</v>
      </c>
      <c r="E5" s="7" t="n">
        <v>2</v>
      </c>
      <c r="F5" s="7" t="n">
        <v>1</v>
      </c>
      <c r="G5" s="7" t="n">
        <v>1</v>
      </c>
      <c r="H5" s="7" t="n">
        <v>0</v>
      </c>
      <c r="I5" s="7" t="n">
        <v>3</v>
      </c>
      <c r="J5" s="10" t="n">
        <v>1</v>
      </c>
      <c r="K5" s="14" t="n">
        <v>0</v>
      </c>
      <c r="L5" s="7"/>
      <c r="M5" s="7"/>
      <c r="N5" s="15"/>
    </row>
    <row r="6" customFormat="false" ht="15" hidden="false" customHeight="false" outlineLevel="0" collapsed="false">
      <c r="A6" s="16" t="s">
        <v>75</v>
      </c>
      <c r="B6" s="16" t="s">
        <v>49</v>
      </c>
      <c r="C6" s="17" t="n">
        <v>1</v>
      </c>
      <c r="D6" s="17" t="n">
        <v>2</v>
      </c>
      <c r="E6" s="17" t="n">
        <v>1</v>
      </c>
      <c r="F6" s="17" t="n">
        <v>1</v>
      </c>
      <c r="G6" s="17" t="n">
        <v>0</v>
      </c>
      <c r="H6" s="17" t="n">
        <v>0</v>
      </c>
      <c r="I6" s="17" t="n">
        <v>3</v>
      </c>
      <c r="J6" s="18" t="n">
        <v>0.5</v>
      </c>
      <c r="K6" s="19"/>
      <c r="L6" s="17"/>
      <c r="M6" s="17"/>
      <c r="N6" s="20"/>
    </row>
    <row r="7" customFormat="false" ht="15" hidden="false" customHeight="false" outlineLevel="0" collapsed="false">
      <c r="A7" s="4" t="s">
        <v>76</v>
      </c>
      <c r="B7" s="4" t="s">
        <v>49</v>
      </c>
      <c r="C7" s="7" t="n">
        <v>1</v>
      </c>
      <c r="D7" s="7" t="n">
        <v>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10" t="n">
        <v>1</v>
      </c>
      <c r="K7" s="14" t="n">
        <v>0</v>
      </c>
      <c r="L7" s="7"/>
      <c r="M7" s="7"/>
      <c r="N7" s="15"/>
    </row>
    <row r="8" customFormat="false" ht="15" hidden="false" customHeight="false" outlineLevel="0" collapsed="false">
      <c r="A8" s="16" t="s">
        <v>77</v>
      </c>
      <c r="B8" s="16" t="s">
        <v>49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0</v>
      </c>
      <c r="H8" s="17" t="n">
        <v>0</v>
      </c>
      <c r="I8" s="17" t="n">
        <v>2</v>
      </c>
      <c r="J8" s="18" t="n">
        <v>1</v>
      </c>
      <c r="K8" s="19"/>
      <c r="L8" s="17"/>
      <c r="M8" s="17"/>
      <c r="N8" s="20"/>
    </row>
    <row r="9" customFormat="false" ht="15" hidden="false" customHeight="false" outlineLevel="0" collapsed="false">
      <c r="A9" s="4" t="s">
        <v>78</v>
      </c>
      <c r="B9" s="4" t="s">
        <v>49</v>
      </c>
      <c r="C9" s="7" t="n">
        <v>1</v>
      </c>
      <c r="D9" s="7" t="n">
        <v>1</v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2</v>
      </c>
      <c r="J9" s="10" t="n">
        <v>1</v>
      </c>
      <c r="K9" s="14"/>
      <c r="L9" s="7"/>
      <c r="M9" s="7"/>
      <c r="N9" s="15"/>
    </row>
    <row r="10" customFormat="false" ht="15" hidden="false" customHeight="false" outlineLevel="0" collapsed="false">
      <c r="A10" s="16" t="s">
        <v>79</v>
      </c>
      <c r="B10" s="16" t="s">
        <v>49</v>
      </c>
      <c r="C10" s="17" t="n">
        <v>1</v>
      </c>
      <c r="D10" s="17" t="n">
        <v>2</v>
      </c>
      <c r="E10" s="17" t="n">
        <v>2</v>
      </c>
      <c r="F10" s="17" t="n">
        <v>2</v>
      </c>
      <c r="G10" s="17" t="n">
        <v>0</v>
      </c>
      <c r="H10" s="17" t="n">
        <v>0</v>
      </c>
      <c r="I10" s="17" t="n">
        <v>1</v>
      </c>
      <c r="J10" s="18" t="n">
        <v>1</v>
      </c>
      <c r="K10" s="19"/>
      <c r="L10" s="17"/>
      <c r="M10" s="17"/>
      <c r="N10" s="20"/>
    </row>
    <row r="11" customFormat="false" ht="15" hidden="false" customHeight="false" outlineLevel="0" collapsed="false">
      <c r="A11" s="4" t="s">
        <v>80</v>
      </c>
      <c r="B11" s="4" t="s">
        <v>49</v>
      </c>
      <c r="C11" s="7" t="n">
        <v>1</v>
      </c>
      <c r="D11" s="7" t="n">
        <v>2</v>
      </c>
      <c r="E11" s="7" t="n">
        <v>2</v>
      </c>
      <c r="F11" s="7" t="n">
        <v>1</v>
      </c>
      <c r="G11" s="7" t="n">
        <v>0</v>
      </c>
      <c r="H11" s="7" t="n">
        <v>0</v>
      </c>
      <c r="I11" s="7" t="n">
        <v>1</v>
      </c>
      <c r="J11" s="10" t="n">
        <v>1</v>
      </c>
      <c r="K11" s="14"/>
      <c r="L11" s="7"/>
      <c r="M11" s="7"/>
      <c r="N11" s="15"/>
    </row>
    <row r="12" customFormat="false" ht="15" hidden="false" customHeight="false" outlineLevel="0" collapsed="false">
      <c r="A12" s="16" t="s">
        <v>81</v>
      </c>
      <c r="B12" s="16" t="s">
        <v>49</v>
      </c>
      <c r="C12" s="17" t="n">
        <v>1</v>
      </c>
      <c r="D12" s="17" t="n">
        <v>2</v>
      </c>
      <c r="E12" s="17" t="n">
        <v>1</v>
      </c>
      <c r="F12" s="17" t="n">
        <v>0</v>
      </c>
      <c r="G12" s="17" t="n">
        <v>0</v>
      </c>
      <c r="H12" s="17" t="n">
        <v>1</v>
      </c>
      <c r="I12" s="17" t="n">
        <v>1</v>
      </c>
      <c r="J12" s="18" t="n">
        <v>1</v>
      </c>
      <c r="K12" s="19" t="n">
        <v>0</v>
      </c>
      <c r="L12" s="17"/>
      <c r="M12" s="17"/>
      <c r="N12" s="20"/>
    </row>
    <row r="13" customFormat="false" ht="15" hidden="false" customHeight="false" outlineLevel="0" collapsed="false">
      <c r="A13" s="4" t="s">
        <v>82</v>
      </c>
      <c r="B13" s="4" t="s">
        <v>49</v>
      </c>
      <c r="C13" s="7" t="n">
        <v>1</v>
      </c>
      <c r="D13" s="7" t="n">
        <v>2</v>
      </c>
      <c r="E13" s="7" t="n">
        <v>1</v>
      </c>
      <c r="F13" s="7" t="n">
        <v>0</v>
      </c>
      <c r="G13" s="7" t="n">
        <v>0</v>
      </c>
      <c r="H13" s="7" t="n">
        <v>1</v>
      </c>
      <c r="I13" s="7" t="n">
        <v>1</v>
      </c>
      <c r="J13" s="10" t="n">
        <v>0.5</v>
      </c>
      <c r="K13" s="14" t="n">
        <v>0</v>
      </c>
      <c r="L13" s="7"/>
      <c r="M13" s="7"/>
      <c r="N13" s="15"/>
    </row>
    <row r="14" customFormat="false" ht="15" hidden="false" customHeight="false" outlineLevel="0" collapsed="false">
      <c r="A14" s="16" t="s">
        <v>83</v>
      </c>
      <c r="B14" s="16" t="s">
        <v>49</v>
      </c>
      <c r="C14" s="17" t="n">
        <v>1</v>
      </c>
      <c r="D14" s="17" t="n">
        <v>2</v>
      </c>
      <c r="E14" s="17" t="n">
        <v>1</v>
      </c>
      <c r="F14" s="17" t="n">
        <v>1</v>
      </c>
      <c r="G14" s="17" t="n">
        <v>0</v>
      </c>
      <c r="H14" s="17" t="n">
        <v>0</v>
      </c>
      <c r="I14" s="17" t="n">
        <v>1</v>
      </c>
      <c r="J14" s="18" t="n">
        <v>1</v>
      </c>
      <c r="K14" s="19" t="n">
        <v>0</v>
      </c>
      <c r="L14" s="17"/>
      <c r="M14" s="17"/>
      <c r="N14" s="20"/>
    </row>
    <row r="15" customFormat="false" ht="15" hidden="false" customHeight="false" outlineLevel="0" collapsed="false">
      <c r="A15" s="4" t="s">
        <v>84</v>
      </c>
      <c r="B15" s="4" t="s">
        <v>49</v>
      </c>
      <c r="C15" s="7" t="n">
        <v>1</v>
      </c>
      <c r="D15" s="7" t="n">
        <v>2</v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1</v>
      </c>
      <c r="J15" s="10" t="n">
        <v>0.5</v>
      </c>
      <c r="K15" s="14" t="n">
        <v>0</v>
      </c>
      <c r="L15" s="7"/>
      <c r="M15" s="7"/>
      <c r="N15" s="15"/>
    </row>
    <row r="16" customFormat="false" ht="15" hidden="false" customHeight="false" outlineLevel="0" collapsed="false">
      <c r="A16" s="16" t="s">
        <v>85</v>
      </c>
      <c r="B16" s="16" t="s">
        <v>49</v>
      </c>
      <c r="C16" s="17" t="n">
        <v>1</v>
      </c>
      <c r="D16" s="17" t="n">
        <v>2</v>
      </c>
      <c r="E16" s="17" t="n">
        <v>1</v>
      </c>
      <c r="F16" s="17" t="n">
        <v>1</v>
      </c>
      <c r="G16" s="17" t="n">
        <v>0</v>
      </c>
      <c r="H16" s="17" t="n">
        <v>0</v>
      </c>
      <c r="I16" s="17" t="n">
        <v>1</v>
      </c>
      <c r="J16" s="18" t="n">
        <v>0.5</v>
      </c>
      <c r="K16" s="19" t="n">
        <v>0</v>
      </c>
      <c r="L16" s="17"/>
      <c r="M16" s="17"/>
      <c r="N16" s="20"/>
    </row>
    <row r="17" customFormat="false" ht="15" hidden="false" customHeight="false" outlineLevel="0" collapsed="false">
      <c r="A17" s="4" t="s">
        <v>86</v>
      </c>
      <c r="B17" s="4" t="s">
        <v>49</v>
      </c>
      <c r="C17" s="7" t="n">
        <v>1</v>
      </c>
      <c r="D17" s="7" t="n">
        <v>2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1</v>
      </c>
      <c r="J17" s="10" t="n">
        <v>0</v>
      </c>
      <c r="K17" s="14" t="n">
        <v>0</v>
      </c>
      <c r="L17" s="7"/>
      <c r="M17" s="7"/>
      <c r="N17" s="15"/>
    </row>
    <row r="18" customFormat="false" ht="15" hidden="false" customHeight="false" outlineLevel="0" collapsed="false">
      <c r="A18" s="16" t="s">
        <v>87</v>
      </c>
      <c r="B18" s="16" t="s">
        <v>49</v>
      </c>
      <c r="C18" s="17" t="n">
        <v>1</v>
      </c>
      <c r="D18" s="17" t="n">
        <v>2</v>
      </c>
      <c r="E18" s="17" t="n">
        <v>2</v>
      </c>
      <c r="F18" s="17" t="n">
        <v>0</v>
      </c>
      <c r="G18" s="17" t="n">
        <v>0</v>
      </c>
      <c r="H18" s="17" t="n">
        <v>0</v>
      </c>
      <c r="I18" s="17" t="n">
        <v>0</v>
      </c>
      <c r="J18" s="18" t="n">
        <v>1</v>
      </c>
      <c r="K18" s="19"/>
      <c r="L18" s="17"/>
      <c r="M18" s="17"/>
      <c r="N18" s="20"/>
    </row>
    <row r="19" customFormat="false" ht="15" hidden="false" customHeight="false" outlineLevel="0" collapsed="false">
      <c r="A19" s="4" t="s">
        <v>88</v>
      </c>
      <c r="B19" s="4" t="s">
        <v>49</v>
      </c>
      <c r="C19" s="7" t="n">
        <v>1</v>
      </c>
      <c r="D19" s="7" t="n">
        <v>2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10" t="n">
        <v>0.5</v>
      </c>
      <c r="K19" s="14" t="n">
        <v>3</v>
      </c>
      <c r="L19" s="7" t="n">
        <v>1</v>
      </c>
      <c r="M19" s="7" t="n">
        <v>3</v>
      </c>
      <c r="N19" s="15" t="n">
        <v>2.33</v>
      </c>
    </row>
    <row r="20" customFormat="false" ht="15" hidden="false" customHeight="false" outlineLevel="0" collapsed="false">
      <c r="A20" s="16" t="s">
        <v>89</v>
      </c>
      <c r="B20" s="16" t="s">
        <v>49</v>
      </c>
      <c r="C20" s="17" t="n">
        <v>1</v>
      </c>
      <c r="D20" s="17" t="n">
        <v>2</v>
      </c>
      <c r="E20" s="17" t="n">
        <v>1</v>
      </c>
      <c r="F20" s="17" t="n">
        <v>0</v>
      </c>
      <c r="G20" s="17" t="n">
        <v>1</v>
      </c>
      <c r="H20" s="17" t="n">
        <v>0</v>
      </c>
      <c r="I20" s="17" t="n">
        <v>0</v>
      </c>
      <c r="J20" s="18" t="n">
        <v>1</v>
      </c>
      <c r="K20" s="19" t="n">
        <v>0</v>
      </c>
      <c r="L20" s="17"/>
      <c r="M20" s="17"/>
      <c r="N20" s="20"/>
    </row>
    <row r="21" customFormat="false" ht="15" hidden="false" customHeight="false" outlineLevel="0" collapsed="false">
      <c r="A21" s="4" t="s">
        <v>90</v>
      </c>
      <c r="B21" s="4" t="s">
        <v>49</v>
      </c>
      <c r="C21" s="7" t="n">
        <v>1</v>
      </c>
      <c r="D21" s="7" t="n">
        <v>2</v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10" t="n">
        <v>1</v>
      </c>
      <c r="K21" s="14"/>
      <c r="L21" s="7"/>
      <c r="M21" s="7"/>
      <c r="N21" s="15"/>
    </row>
    <row r="22" customFormat="false" ht="15" hidden="false" customHeight="false" outlineLevel="0" collapsed="false">
      <c r="A22" s="16" t="s">
        <v>91</v>
      </c>
      <c r="B22" s="16" t="s">
        <v>49</v>
      </c>
      <c r="C22" s="17" t="n">
        <v>1</v>
      </c>
      <c r="D22" s="17" t="n">
        <v>1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8" t="n">
        <v>0</v>
      </c>
      <c r="K22" s="19"/>
      <c r="L22" s="17"/>
      <c r="M22" s="17"/>
      <c r="N22" s="20"/>
    </row>
    <row r="23" customFormat="false" ht="15" hidden="false" customHeight="false" outlineLevel="0" collapsed="false">
      <c r="A23" s="4" t="s">
        <v>92</v>
      </c>
      <c r="B23" s="4" t="s">
        <v>51</v>
      </c>
      <c r="C23" s="7" t="n">
        <v>1</v>
      </c>
      <c r="D23" s="7" t="n">
        <v>3</v>
      </c>
      <c r="E23" s="7" t="n">
        <v>2</v>
      </c>
      <c r="F23" s="7" t="n">
        <v>0</v>
      </c>
      <c r="G23" s="7" t="n">
        <v>0</v>
      </c>
      <c r="H23" s="7" t="n">
        <v>0</v>
      </c>
      <c r="I23" s="7" t="n">
        <v>4</v>
      </c>
      <c r="J23" s="10" t="n">
        <v>0.667</v>
      </c>
      <c r="K23" s="14"/>
      <c r="L23" s="7"/>
      <c r="M23" s="7"/>
      <c r="N23" s="15"/>
    </row>
    <row r="24" customFormat="false" ht="15" hidden="false" customHeight="false" outlineLevel="0" collapsed="false">
      <c r="A24" s="16" t="s">
        <v>93</v>
      </c>
      <c r="B24" s="16" t="s">
        <v>51</v>
      </c>
      <c r="C24" s="17" t="n">
        <v>1</v>
      </c>
      <c r="D24" s="17" t="n">
        <v>3</v>
      </c>
      <c r="E24" s="17" t="n">
        <v>2</v>
      </c>
      <c r="F24" s="17" t="n">
        <v>1</v>
      </c>
      <c r="G24" s="17" t="n">
        <v>1</v>
      </c>
      <c r="H24" s="17" t="n">
        <v>0</v>
      </c>
      <c r="I24" s="17" t="n">
        <v>3</v>
      </c>
      <c r="J24" s="18" t="n">
        <v>1</v>
      </c>
      <c r="K24" s="19"/>
      <c r="L24" s="17"/>
      <c r="M24" s="17"/>
      <c r="N24" s="20"/>
    </row>
    <row r="25" customFormat="false" ht="15" hidden="false" customHeight="false" outlineLevel="0" collapsed="false">
      <c r="A25" s="4" t="s">
        <v>94</v>
      </c>
      <c r="B25" s="4" t="s">
        <v>51</v>
      </c>
      <c r="C25" s="7" t="n">
        <v>1</v>
      </c>
      <c r="D25" s="7" t="n">
        <v>2</v>
      </c>
      <c r="E25" s="7" t="n">
        <v>2</v>
      </c>
      <c r="F25" s="7" t="n">
        <v>1</v>
      </c>
      <c r="G25" s="7" t="n">
        <v>0</v>
      </c>
      <c r="H25" s="7" t="n">
        <v>0</v>
      </c>
      <c r="I25" s="7" t="n">
        <v>3</v>
      </c>
      <c r="J25" s="10" t="n">
        <v>1</v>
      </c>
      <c r="K25" s="14" t="n">
        <v>1</v>
      </c>
      <c r="L25" s="7"/>
      <c r="M25" s="7" t="n">
        <v>0</v>
      </c>
      <c r="N25" s="15" t="n">
        <v>0</v>
      </c>
    </row>
    <row r="26" customFormat="false" ht="15" hidden="false" customHeight="false" outlineLevel="0" collapsed="false">
      <c r="A26" s="16" t="s">
        <v>95</v>
      </c>
      <c r="B26" s="16" t="s">
        <v>51</v>
      </c>
      <c r="C26" s="17" t="n">
        <v>1</v>
      </c>
      <c r="D26" s="17" t="n">
        <v>3</v>
      </c>
      <c r="E26" s="17" t="n">
        <v>2</v>
      </c>
      <c r="F26" s="17" t="n">
        <v>0</v>
      </c>
      <c r="G26" s="17" t="n">
        <v>0</v>
      </c>
      <c r="H26" s="17" t="n">
        <v>0</v>
      </c>
      <c r="I26" s="17" t="n">
        <v>1</v>
      </c>
      <c r="J26" s="18" t="n">
        <v>0.667</v>
      </c>
      <c r="K26" s="19"/>
      <c r="L26" s="17"/>
      <c r="M26" s="17"/>
      <c r="N26" s="20"/>
    </row>
    <row r="27" customFormat="false" ht="15" hidden="false" customHeight="false" outlineLevel="0" collapsed="false">
      <c r="A27" s="4" t="s">
        <v>96</v>
      </c>
      <c r="B27" s="4" t="s">
        <v>51</v>
      </c>
      <c r="C27" s="7" t="n">
        <v>1</v>
      </c>
      <c r="D27" s="7" t="n">
        <v>3</v>
      </c>
      <c r="E27" s="7" t="n">
        <v>2</v>
      </c>
      <c r="F27" s="7" t="n">
        <v>0</v>
      </c>
      <c r="G27" s="7" t="n">
        <v>0</v>
      </c>
      <c r="H27" s="7" t="n">
        <v>0</v>
      </c>
      <c r="I27" s="7" t="n">
        <v>1</v>
      </c>
      <c r="J27" s="10" t="n">
        <v>0.667</v>
      </c>
      <c r="K27" s="14"/>
      <c r="L27" s="7"/>
      <c r="M27" s="7"/>
      <c r="N27" s="15"/>
    </row>
    <row r="28" customFormat="false" ht="15" hidden="false" customHeight="false" outlineLevel="0" collapsed="false">
      <c r="A28" s="16" t="s">
        <v>97</v>
      </c>
      <c r="B28" s="16" t="s">
        <v>51</v>
      </c>
      <c r="C28" s="17" t="n">
        <v>1</v>
      </c>
      <c r="D28" s="17" t="n">
        <v>2</v>
      </c>
      <c r="E28" s="17" t="n">
        <v>2</v>
      </c>
      <c r="F28" s="17" t="n">
        <v>0</v>
      </c>
      <c r="G28" s="17" t="n">
        <v>0</v>
      </c>
      <c r="H28" s="17" t="n">
        <v>1</v>
      </c>
      <c r="I28" s="17" t="n">
        <v>1</v>
      </c>
      <c r="J28" s="18" t="n">
        <v>1</v>
      </c>
      <c r="K28" s="19"/>
      <c r="L28" s="17"/>
      <c r="M28" s="17"/>
      <c r="N28" s="20"/>
    </row>
    <row r="29" customFormat="false" ht="15" hidden="false" customHeight="false" outlineLevel="0" collapsed="false">
      <c r="A29" s="4" t="s">
        <v>98</v>
      </c>
      <c r="B29" s="4" t="s">
        <v>51</v>
      </c>
      <c r="C29" s="7" t="n">
        <v>1</v>
      </c>
      <c r="D29" s="7" t="n">
        <v>2</v>
      </c>
      <c r="E29" s="7" t="n">
        <v>1</v>
      </c>
      <c r="F29" s="7" t="n">
        <v>0</v>
      </c>
      <c r="G29" s="7" t="n">
        <v>0</v>
      </c>
      <c r="H29" s="7" t="n">
        <v>0</v>
      </c>
      <c r="I29" s="7" t="n">
        <v>1</v>
      </c>
      <c r="J29" s="10" t="n">
        <v>0.5</v>
      </c>
      <c r="K29" s="14"/>
      <c r="L29" s="7"/>
      <c r="M29" s="7"/>
      <c r="N29" s="15"/>
    </row>
    <row r="30" customFormat="false" ht="15" hidden="false" customHeight="false" outlineLevel="0" collapsed="false">
      <c r="A30" s="16" t="s">
        <v>99</v>
      </c>
      <c r="B30" s="16" t="s">
        <v>51</v>
      </c>
      <c r="C30" s="17" t="n">
        <v>1</v>
      </c>
      <c r="D30" s="17" t="n">
        <v>3</v>
      </c>
      <c r="E30" s="17" t="n">
        <v>1</v>
      </c>
      <c r="F30" s="17" t="n">
        <v>0</v>
      </c>
      <c r="G30" s="17" t="n">
        <v>1</v>
      </c>
      <c r="H30" s="17" t="n">
        <v>0</v>
      </c>
      <c r="I30" s="17" t="n">
        <v>1</v>
      </c>
      <c r="J30" s="18" t="n">
        <v>0.333</v>
      </c>
      <c r="K30" s="19"/>
      <c r="L30" s="17"/>
      <c r="M30" s="17"/>
      <c r="N30" s="20"/>
    </row>
    <row r="31" customFormat="false" ht="15" hidden="false" customHeight="false" outlineLevel="0" collapsed="false">
      <c r="A31" s="4" t="s">
        <v>100</v>
      </c>
      <c r="B31" s="4" t="s">
        <v>51</v>
      </c>
      <c r="C31" s="7" t="n">
        <v>1</v>
      </c>
      <c r="D31" s="7" t="n">
        <v>2</v>
      </c>
      <c r="E31" s="7" t="n">
        <v>1</v>
      </c>
      <c r="F31" s="7" t="n">
        <v>0</v>
      </c>
      <c r="G31" s="7" t="n">
        <v>0</v>
      </c>
      <c r="H31" s="7" t="n">
        <v>0</v>
      </c>
      <c r="I31" s="7" t="n">
        <v>0</v>
      </c>
      <c r="J31" s="10" t="n">
        <v>0.5</v>
      </c>
      <c r="K31" s="14"/>
      <c r="L31" s="7"/>
      <c r="M31" s="7"/>
      <c r="N31" s="15"/>
    </row>
    <row r="32" customFormat="false" ht="15" hidden="false" customHeight="false" outlineLevel="0" collapsed="false">
      <c r="A32" s="16" t="s">
        <v>101</v>
      </c>
      <c r="B32" s="16" t="s">
        <v>51</v>
      </c>
      <c r="C32" s="17" t="n">
        <v>1</v>
      </c>
      <c r="D32" s="17" t="n">
        <v>2</v>
      </c>
      <c r="E32" s="17" t="n">
        <v>1</v>
      </c>
      <c r="F32" s="17" t="n">
        <v>0</v>
      </c>
      <c r="G32" s="17" t="n">
        <v>0</v>
      </c>
      <c r="H32" s="17" t="n">
        <v>0</v>
      </c>
      <c r="I32" s="17" t="n">
        <v>0</v>
      </c>
      <c r="J32" s="18" t="n">
        <v>0.5</v>
      </c>
      <c r="K32" s="19" t="n">
        <v>0</v>
      </c>
      <c r="L32" s="17"/>
      <c r="M32" s="17"/>
      <c r="N32" s="20"/>
    </row>
    <row r="33" customFormat="false" ht="15" hidden="false" customHeight="false" outlineLevel="0" collapsed="false">
      <c r="A33" s="4" t="s">
        <v>102</v>
      </c>
      <c r="B33" s="4" t="s">
        <v>51</v>
      </c>
      <c r="C33" s="7" t="n">
        <v>1</v>
      </c>
      <c r="D33" s="7" t="n">
        <v>3</v>
      </c>
      <c r="E33" s="7" t="n">
        <v>1</v>
      </c>
      <c r="F33" s="7" t="n">
        <v>0</v>
      </c>
      <c r="G33" s="7" t="n">
        <v>0</v>
      </c>
      <c r="H33" s="7" t="n">
        <v>0</v>
      </c>
      <c r="I33" s="7" t="n">
        <v>0</v>
      </c>
      <c r="J33" s="10" t="n">
        <v>0.333</v>
      </c>
      <c r="K33" s="14"/>
      <c r="L33" s="7"/>
      <c r="M33" s="7"/>
      <c r="N33" s="15"/>
    </row>
    <row r="34" customFormat="false" ht="15" hidden="false" customHeight="false" outlineLevel="0" collapsed="false">
      <c r="A34" s="16" t="s">
        <v>103</v>
      </c>
      <c r="B34" s="16" t="s">
        <v>51</v>
      </c>
      <c r="C34" s="17" t="n">
        <v>1</v>
      </c>
      <c r="D34" s="17" t="n">
        <v>2</v>
      </c>
      <c r="E34" s="17" t="n">
        <v>1</v>
      </c>
      <c r="F34" s="17" t="n">
        <v>0</v>
      </c>
      <c r="G34" s="17" t="n">
        <v>0</v>
      </c>
      <c r="H34" s="17" t="n">
        <v>0</v>
      </c>
      <c r="I34" s="17" t="n">
        <v>0</v>
      </c>
      <c r="J34" s="18" t="n">
        <v>0.5</v>
      </c>
      <c r="K34" s="19"/>
      <c r="L34" s="17"/>
      <c r="M34" s="17"/>
      <c r="N34" s="20"/>
    </row>
    <row r="35" customFormat="false" ht="15" hidden="false" customHeight="false" outlineLevel="0" collapsed="false">
      <c r="A35" s="4" t="s">
        <v>104</v>
      </c>
      <c r="B35" s="4" t="s">
        <v>51</v>
      </c>
      <c r="C35" s="7" t="n">
        <v>1</v>
      </c>
      <c r="D35" s="7" t="n">
        <v>2</v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10" t="n">
        <v>0</v>
      </c>
      <c r="K35" s="14"/>
      <c r="L35" s="7"/>
      <c r="M35" s="7"/>
      <c r="N35" s="15"/>
    </row>
    <row r="36" customFormat="false" ht="15" hidden="false" customHeight="false" outlineLevel="0" collapsed="false">
      <c r="A36" s="16" t="s">
        <v>105</v>
      </c>
      <c r="B36" s="16" t="s">
        <v>51</v>
      </c>
      <c r="C36" s="17" t="n">
        <v>1</v>
      </c>
      <c r="D36" s="17" t="n">
        <v>2</v>
      </c>
      <c r="E36" s="17" t="n">
        <v>0</v>
      </c>
      <c r="F36" s="17" t="n">
        <v>0</v>
      </c>
      <c r="G36" s="17" t="n">
        <v>0</v>
      </c>
      <c r="H36" s="17" t="n">
        <v>0</v>
      </c>
      <c r="I36" s="17" t="n">
        <v>0</v>
      </c>
      <c r="J36" s="18" t="n">
        <v>0</v>
      </c>
      <c r="K36" s="19" t="n">
        <v>4</v>
      </c>
      <c r="L36" s="17" t="n">
        <v>1</v>
      </c>
      <c r="M36" s="17" t="n">
        <v>0</v>
      </c>
      <c r="N36" s="20" t="n">
        <v>8.75</v>
      </c>
    </row>
    <row r="37" customFormat="false" ht="15" hidden="false" customHeight="false" outlineLevel="0" collapsed="false">
      <c r="A37" s="4" t="s">
        <v>106</v>
      </c>
      <c r="B37" s="4" t="s">
        <v>53</v>
      </c>
      <c r="C37" s="7" t="n">
        <v>1</v>
      </c>
      <c r="D37" s="7" t="n">
        <v>2</v>
      </c>
      <c r="E37" s="7" t="n">
        <v>2</v>
      </c>
      <c r="F37" s="7" t="n">
        <v>0</v>
      </c>
      <c r="G37" s="7" t="n">
        <v>0</v>
      </c>
      <c r="H37" s="7" t="n">
        <v>0</v>
      </c>
      <c r="I37" s="7" t="n">
        <v>2</v>
      </c>
      <c r="J37" s="10" t="n">
        <v>1</v>
      </c>
      <c r="K37" s="14" t="n">
        <v>0</v>
      </c>
      <c r="L37" s="7"/>
      <c r="M37" s="7"/>
      <c r="N37" s="15"/>
    </row>
    <row r="38" customFormat="false" ht="15" hidden="false" customHeight="false" outlineLevel="0" collapsed="false">
      <c r="A38" s="16" t="s">
        <v>107</v>
      </c>
      <c r="B38" s="16" t="s">
        <v>53</v>
      </c>
      <c r="C38" s="17" t="n">
        <v>1</v>
      </c>
      <c r="D38" s="17" t="n">
        <v>1</v>
      </c>
      <c r="E38" s="17" t="n">
        <v>1</v>
      </c>
      <c r="F38" s="17" t="n">
        <v>0</v>
      </c>
      <c r="G38" s="17" t="n">
        <v>0</v>
      </c>
      <c r="H38" s="17" t="n">
        <v>0</v>
      </c>
      <c r="I38" s="17" t="n">
        <v>1</v>
      </c>
      <c r="J38" s="18" t="n">
        <v>1</v>
      </c>
      <c r="K38" s="19"/>
      <c r="L38" s="17"/>
      <c r="M38" s="17"/>
      <c r="N38" s="20"/>
    </row>
    <row r="39" customFormat="false" ht="15" hidden="false" customHeight="false" outlineLevel="0" collapsed="false">
      <c r="A39" s="4" t="s">
        <v>108</v>
      </c>
      <c r="B39" s="4" t="s">
        <v>53</v>
      </c>
      <c r="C39" s="7" t="n">
        <v>1</v>
      </c>
      <c r="D39" s="7" t="n">
        <v>3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1</v>
      </c>
      <c r="J39" s="10" t="n">
        <v>0</v>
      </c>
      <c r="K39" s="14" t="n">
        <v>0</v>
      </c>
      <c r="L39" s="7"/>
      <c r="M39" s="7"/>
      <c r="N39" s="15"/>
    </row>
    <row r="40" customFormat="false" ht="15" hidden="false" customHeight="false" outlineLevel="0" collapsed="false">
      <c r="A40" s="16" t="s">
        <v>109</v>
      </c>
      <c r="B40" s="16" t="s">
        <v>53</v>
      </c>
      <c r="C40" s="17" t="n">
        <v>1</v>
      </c>
      <c r="D40" s="17" t="n">
        <v>2</v>
      </c>
      <c r="E40" s="17" t="n">
        <v>2</v>
      </c>
      <c r="F40" s="17" t="n">
        <v>0</v>
      </c>
      <c r="G40" s="17" t="n">
        <v>0</v>
      </c>
      <c r="H40" s="17" t="n">
        <v>0</v>
      </c>
      <c r="I40" s="17" t="n">
        <v>0</v>
      </c>
      <c r="J40" s="18" t="n">
        <v>1</v>
      </c>
      <c r="K40" s="19" t="n">
        <v>0</v>
      </c>
      <c r="L40" s="17"/>
      <c r="M40" s="17"/>
      <c r="N40" s="20"/>
    </row>
    <row r="41" customFormat="false" ht="15" hidden="false" customHeight="false" outlineLevel="0" collapsed="false">
      <c r="A41" s="4" t="s">
        <v>110</v>
      </c>
      <c r="B41" s="4" t="s">
        <v>53</v>
      </c>
      <c r="C41" s="7" t="n">
        <v>1</v>
      </c>
      <c r="D41" s="7" t="n">
        <v>2</v>
      </c>
      <c r="E41" s="7" t="n">
        <v>1</v>
      </c>
      <c r="F41" s="7" t="n">
        <v>0</v>
      </c>
      <c r="G41" s="7" t="n">
        <v>0</v>
      </c>
      <c r="H41" s="7" t="n">
        <v>0</v>
      </c>
      <c r="I41" s="7" t="n">
        <v>0</v>
      </c>
      <c r="J41" s="10" t="n">
        <v>0.5</v>
      </c>
      <c r="K41" s="14" t="n">
        <v>0</v>
      </c>
      <c r="L41" s="7"/>
      <c r="M41" s="7"/>
      <c r="N41" s="15"/>
    </row>
    <row r="42" customFormat="false" ht="15" hidden="false" customHeight="false" outlineLevel="0" collapsed="false">
      <c r="A42" s="16" t="s">
        <v>111</v>
      </c>
      <c r="B42" s="16" t="s">
        <v>53</v>
      </c>
      <c r="C42" s="17" t="n">
        <v>1</v>
      </c>
      <c r="D42" s="17" t="n">
        <v>2</v>
      </c>
      <c r="E42" s="17" t="n">
        <v>1</v>
      </c>
      <c r="F42" s="17" t="n">
        <v>0</v>
      </c>
      <c r="G42" s="17" t="n">
        <v>0</v>
      </c>
      <c r="H42" s="17" t="n">
        <v>0</v>
      </c>
      <c r="I42" s="17" t="n">
        <v>0</v>
      </c>
      <c r="J42" s="18" t="n">
        <v>0.5</v>
      </c>
      <c r="K42" s="19" t="n">
        <v>2</v>
      </c>
      <c r="L42" s="17" t="n">
        <v>0</v>
      </c>
      <c r="M42" s="17" t="n">
        <v>1</v>
      </c>
      <c r="N42" s="20" t="n">
        <v>21</v>
      </c>
    </row>
    <row r="43" customFormat="false" ht="15" hidden="false" customHeight="false" outlineLevel="0" collapsed="false">
      <c r="A43" s="4" t="s">
        <v>112</v>
      </c>
      <c r="B43" s="4" t="s">
        <v>53</v>
      </c>
      <c r="C43" s="7" t="n">
        <v>1</v>
      </c>
      <c r="D43" s="7" t="n">
        <v>2</v>
      </c>
      <c r="E43" s="7" t="n">
        <v>1</v>
      </c>
      <c r="F43" s="7" t="n">
        <v>0</v>
      </c>
      <c r="G43" s="7" t="n">
        <v>0</v>
      </c>
      <c r="H43" s="7" t="n">
        <v>0</v>
      </c>
      <c r="I43" s="7" t="n">
        <v>0</v>
      </c>
      <c r="J43" s="10" t="n">
        <v>0.5</v>
      </c>
      <c r="K43" s="14"/>
      <c r="L43" s="7"/>
      <c r="M43" s="7"/>
      <c r="N43" s="15"/>
    </row>
    <row r="44" customFormat="false" ht="15" hidden="false" customHeight="false" outlineLevel="0" collapsed="false">
      <c r="A44" s="16" t="s">
        <v>113</v>
      </c>
      <c r="B44" s="16" t="s">
        <v>53</v>
      </c>
      <c r="C44" s="17" t="n">
        <v>1</v>
      </c>
      <c r="D44" s="17" t="n">
        <v>1</v>
      </c>
      <c r="E44" s="17" t="n">
        <v>1</v>
      </c>
      <c r="F44" s="17" t="n">
        <v>0</v>
      </c>
      <c r="G44" s="17" t="n">
        <v>0</v>
      </c>
      <c r="H44" s="17" t="n">
        <v>0</v>
      </c>
      <c r="I44" s="17" t="n">
        <v>0</v>
      </c>
      <c r="J44" s="18" t="n">
        <v>1</v>
      </c>
      <c r="K44" s="19" t="n">
        <v>0</v>
      </c>
      <c r="L44" s="17"/>
      <c r="M44" s="17"/>
      <c r="N44" s="20"/>
    </row>
    <row r="45" customFormat="false" ht="15" hidden="false" customHeight="false" outlineLevel="0" collapsed="false">
      <c r="A45" s="4" t="s">
        <v>114</v>
      </c>
      <c r="B45" s="4" t="s">
        <v>53</v>
      </c>
      <c r="C45" s="7" t="n">
        <v>1</v>
      </c>
      <c r="D45" s="7" t="n">
        <v>1</v>
      </c>
      <c r="E45" s="7" t="n">
        <v>1</v>
      </c>
      <c r="F45" s="7" t="n">
        <v>1</v>
      </c>
      <c r="G45" s="7" t="n">
        <v>0</v>
      </c>
      <c r="H45" s="7" t="n">
        <v>0</v>
      </c>
      <c r="I45" s="7" t="n">
        <v>0</v>
      </c>
      <c r="J45" s="10" t="n">
        <v>1</v>
      </c>
      <c r="K45" s="14"/>
      <c r="L45" s="7"/>
      <c r="M45" s="7"/>
      <c r="N45" s="15"/>
    </row>
    <row r="46" customFormat="false" ht="15" hidden="false" customHeight="false" outlineLevel="0" collapsed="false">
      <c r="A46" s="16" t="s">
        <v>115</v>
      </c>
      <c r="B46" s="16" t="s">
        <v>53</v>
      </c>
      <c r="C46" s="17" t="n">
        <v>1</v>
      </c>
      <c r="D46" s="17" t="n">
        <v>1</v>
      </c>
      <c r="E46" s="17" t="n">
        <v>0</v>
      </c>
      <c r="F46" s="17" t="n">
        <v>0</v>
      </c>
      <c r="G46" s="17" t="n">
        <v>0</v>
      </c>
      <c r="H46" s="17" t="n">
        <v>0</v>
      </c>
      <c r="I46" s="17" t="n">
        <v>0</v>
      </c>
      <c r="J46" s="18" t="n">
        <v>0</v>
      </c>
      <c r="K46" s="19"/>
      <c r="L46" s="17"/>
      <c r="M46" s="17"/>
      <c r="N46" s="20"/>
    </row>
    <row r="47" customFormat="false" ht="15" hidden="false" customHeight="false" outlineLevel="0" collapsed="false">
      <c r="A47" s="4" t="s">
        <v>116</v>
      </c>
      <c r="B47" s="4" t="s">
        <v>53</v>
      </c>
      <c r="C47" s="7" t="n">
        <v>1</v>
      </c>
      <c r="D47" s="7" t="n">
        <v>1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10" t="n">
        <v>0</v>
      </c>
      <c r="K47" s="14" t="n">
        <v>0</v>
      </c>
      <c r="L47" s="7"/>
      <c r="M47" s="7"/>
      <c r="N47" s="15"/>
    </row>
    <row r="48" customFormat="false" ht="15" hidden="false" customHeight="false" outlineLevel="0" collapsed="false">
      <c r="A48" s="16" t="s">
        <v>117</v>
      </c>
      <c r="B48" s="16" t="s">
        <v>53</v>
      </c>
      <c r="C48" s="17" t="n">
        <v>1</v>
      </c>
      <c r="D48" s="17" t="n">
        <v>1</v>
      </c>
      <c r="E48" s="17" t="n">
        <v>0</v>
      </c>
      <c r="F48" s="17" t="n">
        <v>0</v>
      </c>
      <c r="G48" s="17" t="n">
        <v>0</v>
      </c>
      <c r="H48" s="17" t="n">
        <v>0</v>
      </c>
      <c r="I48" s="17" t="n">
        <v>0</v>
      </c>
      <c r="J48" s="18" t="n">
        <v>0</v>
      </c>
      <c r="K48" s="19" t="n">
        <v>0</v>
      </c>
      <c r="L48" s="17"/>
      <c r="M48" s="17"/>
      <c r="N48" s="20"/>
    </row>
    <row r="49" customFormat="false" ht="15" hidden="false" customHeight="false" outlineLevel="0" collapsed="false">
      <c r="A49" s="4" t="s">
        <v>118</v>
      </c>
      <c r="B49" s="4" t="s">
        <v>53</v>
      </c>
      <c r="C49" s="7" t="n">
        <v>1</v>
      </c>
      <c r="D49" s="7" t="n">
        <v>2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10" t="n">
        <v>0</v>
      </c>
      <c r="K49" s="14" t="n">
        <v>0</v>
      </c>
      <c r="L49" s="7"/>
      <c r="M49" s="7"/>
      <c r="N49" s="15"/>
    </row>
    <row r="50" customFormat="false" ht="15" hidden="false" customHeight="false" outlineLevel="0" collapsed="false">
      <c r="A50" s="16" t="s">
        <v>119</v>
      </c>
      <c r="B50" s="16" t="s">
        <v>53</v>
      </c>
      <c r="C50" s="17" t="n">
        <v>1</v>
      </c>
      <c r="D50" s="17" t="n">
        <v>1</v>
      </c>
      <c r="E50" s="17" t="n">
        <v>0</v>
      </c>
      <c r="F50" s="17" t="n">
        <v>0</v>
      </c>
      <c r="G50" s="17" t="n">
        <v>0</v>
      </c>
      <c r="H50" s="17" t="n">
        <v>0</v>
      </c>
      <c r="I50" s="17" t="n">
        <v>0</v>
      </c>
      <c r="J50" s="18" t="n">
        <v>0</v>
      </c>
      <c r="K50" s="19" t="n">
        <v>1</v>
      </c>
      <c r="L50" s="17"/>
      <c r="M50" s="17" t="n">
        <v>0</v>
      </c>
      <c r="N50" s="20" t="n">
        <v>26.25</v>
      </c>
    </row>
    <row r="51" customFormat="false" ht="15" hidden="false" customHeight="false" outlineLevel="0" collapsed="false">
      <c r="A51" s="4" t="s">
        <v>120</v>
      </c>
      <c r="B51" s="4" t="s">
        <v>53</v>
      </c>
      <c r="C51" s="7" t="n">
        <v>1</v>
      </c>
      <c r="D51" s="7" t="n">
        <v>2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10" t="n">
        <v>0</v>
      </c>
      <c r="K51" s="14" t="n">
        <v>0</v>
      </c>
      <c r="L51" s="7"/>
      <c r="M51" s="7"/>
      <c r="N51" s="15"/>
    </row>
    <row r="52" customFormat="false" ht="15" hidden="false" customHeight="false" outlineLevel="0" collapsed="false">
      <c r="A52" s="16" t="s">
        <v>121</v>
      </c>
      <c r="B52" s="16" t="s">
        <v>53</v>
      </c>
      <c r="C52" s="17" t="n">
        <v>1</v>
      </c>
      <c r="D52" s="17" t="n">
        <v>1</v>
      </c>
      <c r="E52" s="17" t="n">
        <v>0</v>
      </c>
      <c r="F52" s="17" t="n">
        <v>0</v>
      </c>
      <c r="G52" s="17" t="n">
        <v>0</v>
      </c>
      <c r="H52" s="17" t="n">
        <v>0</v>
      </c>
      <c r="I52" s="17" t="n">
        <v>0</v>
      </c>
      <c r="J52" s="18" t="n">
        <v>0</v>
      </c>
      <c r="K52" s="19" t="n">
        <v>0</v>
      </c>
      <c r="L52" s="17"/>
      <c r="M52" s="17"/>
      <c r="N52" s="20"/>
    </row>
    <row r="53" customFormat="false" ht="15" hidden="false" customHeight="false" outlineLevel="0" collapsed="false">
      <c r="A53" s="4" t="s">
        <v>122</v>
      </c>
      <c r="B53" s="4" t="s">
        <v>53</v>
      </c>
      <c r="C53" s="7" t="n">
        <v>1</v>
      </c>
      <c r="D53" s="7" t="n">
        <v>1</v>
      </c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10" t="n">
        <v>0</v>
      </c>
      <c r="K53" s="14"/>
      <c r="L53" s="7"/>
      <c r="M53" s="7"/>
      <c r="N53" s="15"/>
    </row>
    <row r="54" customFormat="false" ht="15" hidden="false" customHeight="false" outlineLevel="0" collapsed="false">
      <c r="A54" s="16" t="s">
        <v>123</v>
      </c>
      <c r="B54" s="16" t="s">
        <v>53</v>
      </c>
      <c r="C54" s="17" t="n">
        <v>1</v>
      </c>
      <c r="D54" s="17" t="n">
        <v>1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8" t="n">
        <v>0</v>
      </c>
      <c r="K54" s="19"/>
      <c r="L54" s="17"/>
      <c r="M54" s="17"/>
      <c r="N54" s="20"/>
    </row>
    <row r="55" customFormat="false" ht="15" hidden="false" customHeight="false" outlineLevel="0" collapsed="false">
      <c r="A55" s="4" t="s">
        <v>124</v>
      </c>
      <c r="B55" s="4" t="s">
        <v>53</v>
      </c>
      <c r="C55" s="7" t="n">
        <v>1</v>
      </c>
      <c r="D55" s="7" t="n">
        <v>1</v>
      </c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10" t="n">
        <v>0</v>
      </c>
      <c r="K55" s="14" t="n">
        <v>0</v>
      </c>
      <c r="L55" s="7"/>
      <c r="M55" s="7"/>
      <c r="N55" s="15"/>
    </row>
    <row r="56" customFormat="false" ht="15" hidden="false" customHeight="false" outlineLevel="0" collapsed="false">
      <c r="A56" s="16" t="s">
        <v>125</v>
      </c>
      <c r="B56" s="16" t="s">
        <v>53</v>
      </c>
      <c r="C56" s="17" t="n">
        <v>1</v>
      </c>
      <c r="D56" s="17"/>
      <c r="E56" s="17"/>
      <c r="F56" s="17"/>
      <c r="G56" s="17"/>
      <c r="H56" s="17"/>
      <c r="I56" s="17"/>
      <c r="J56" s="18"/>
      <c r="K56" s="19"/>
      <c r="L56" s="17"/>
      <c r="M56" s="17"/>
      <c r="N56" s="20"/>
    </row>
    <row r="57" customFormat="false" ht="15" hidden="false" customHeight="false" outlineLevel="0" collapsed="false">
      <c r="A57" s="4" t="s">
        <v>126</v>
      </c>
      <c r="B57" s="4" t="s">
        <v>55</v>
      </c>
      <c r="C57" s="7" t="n">
        <v>1</v>
      </c>
      <c r="D57" s="7" t="n">
        <v>1</v>
      </c>
      <c r="E57" s="7" t="n">
        <v>1</v>
      </c>
      <c r="F57" s="7" t="n">
        <v>0</v>
      </c>
      <c r="G57" s="7" t="n">
        <v>0</v>
      </c>
      <c r="H57" s="7" t="n">
        <v>0</v>
      </c>
      <c r="I57" s="7" t="n">
        <v>1</v>
      </c>
      <c r="J57" s="10" t="n">
        <v>1</v>
      </c>
      <c r="K57" s="14" t="n">
        <v>0</v>
      </c>
      <c r="L57" s="7"/>
      <c r="M57" s="7"/>
      <c r="N57" s="15"/>
    </row>
    <row r="58" customFormat="false" ht="15" hidden="false" customHeight="false" outlineLevel="0" collapsed="false">
      <c r="A58" s="16" t="s">
        <v>127</v>
      </c>
      <c r="B58" s="16" t="s">
        <v>55</v>
      </c>
      <c r="C58" s="17" t="n">
        <v>1</v>
      </c>
      <c r="D58" s="17" t="n">
        <v>1</v>
      </c>
      <c r="E58" s="17" t="n">
        <v>1</v>
      </c>
      <c r="F58" s="17" t="n">
        <v>0</v>
      </c>
      <c r="G58" s="17" t="n">
        <v>0</v>
      </c>
      <c r="H58" s="17" t="n">
        <v>0</v>
      </c>
      <c r="I58" s="17" t="n">
        <v>0</v>
      </c>
      <c r="J58" s="18" t="n">
        <v>1</v>
      </c>
      <c r="K58" s="19" t="n">
        <v>0</v>
      </c>
      <c r="L58" s="17"/>
      <c r="M58" s="17"/>
      <c r="N58" s="20"/>
    </row>
    <row r="59" customFormat="false" ht="15" hidden="false" customHeight="false" outlineLevel="0" collapsed="false">
      <c r="A59" s="4" t="s">
        <v>128</v>
      </c>
      <c r="B59" s="4" t="s">
        <v>55</v>
      </c>
      <c r="C59" s="7" t="n">
        <v>1</v>
      </c>
      <c r="D59" s="7" t="n">
        <v>2</v>
      </c>
      <c r="E59" s="7" t="n">
        <v>1</v>
      </c>
      <c r="F59" s="7" t="n">
        <v>1</v>
      </c>
      <c r="G59" s="7" t="n">
        <v>0</v>
      </c>
      <c r="H59" s="7" t="n">
        <v>0</v>
      </c>
      <c r="I59" s="7" t="n">
        <v>0</v>
      </c>
      <c r="J59" s="10" t="n">
        <v>0.5</v>
      </c>
      <c r="K59" s="14" t="n">
        <v>0</v>
      </c>
      <c r="L59" s="7"/>
      <c r="M59" s="7"/>
      <c r="N59" s="15"/>
    </row>
    <row r="60" customFormat="false" ht="15" hidden="false" customHeight="false" outlineLevel="0" collapsed="false">
      <c r="A60" s="16" t="s">
        <v>129</v>
      </c>
      <c r="B60" s="16" t="s">
        <v>55</v>
      </c>
      <c r="C60" s="17" t="n">
        <v>1</v>
      </c>
      <c r="D60" s="17" t="n">
        <v>2</v>
      </c>
      <c r="E60" s="17" t="n">
        <v>1</v>
      </c>
      <c r="F60" s="17" t="n">
        <v>0</v>
      </c>
      <c r="G60" s="17" t="n">
        <v>0</v>
      </c>
      <c r="H60" s="17" t="n">
        <v>0</v>
      </c>
      <c r="I60" s="17" t="n">
        <v>0</v>
      </c>
      <c r="J60" s="18" t="n">
        <v>0.5</v>
      </c>
      <c r="K60" s="19" t="n">
        <v>0</v>
      </c>
      <c r="L60" s="17"/>
      <c r="M60" s="17"/>
      <c r="N60" s="20"/>
    </row>
    <row r="61" customFormat="false" ht="15" hidden="false" customHeight="false" outlineLevel="0" collapsed="false">
      <c r="A61" s="4" t="s">
        <v>130</v>
      </c>
      <c r="B61" s="4" t="s">
        <v>55</v>
      </c>
      <c r="C61" s="7" t="n">
        <v>1</v>
      </c>
      <c r="D61" s="7" t="n">
        <v>1</v>
      </c>
      <c r="E61" s="7" t="n">
        <v>1</v>
      </c>
      <c r="F61" s="7" t="n">
        <v>0</v>
      </c>
      <c r="G61" s="7" t="n">
        <v>0</v>
      </c>
      <c r="H61" s="7" t="n">
        <v>0</v>
      </c>
      <c r="I61" s="7" t="n">
        <v>0</v>
      </c>
      <c r="J61" s="10" t="n">
        <v>1</v>
      </c>
      <c r="K61" s="14" t="n">
        <v>2</v>
      </c>
      <c r="L61" s="7" t="n">
        <v>0</v>
      </c>
      <c r="M61" s="7" t="n">
        <v>2</v>
      </c>
      <c r="N61" s="15" t="n">
        <v>28.88</v>
      </c>
    </row>
    <row r="62" customFormat="false" ht="15" hidden="false" customHeight="false" outlineLevel="0" collapsed="false">
      <c r="A62" s="16" t="s">
        <v>131</v>
      </c>
      <c r="B62" s="16" t="s">
        <v>55</v>
      </c>
      <c r="C62" s="17" t="n">
        <v>1</v>
      </c>
      <c r="D62" s="17" t="n">
        <v>1</v>
      </c>
      <c r="E62" s="17" t="n">
        <v>0</v>
      </c>
      <c r="F62" s="17" t="n">
        <v>0</v>
      </c>
      <c r="G62" s="17" t="n">
        <v>0</v>
      </c>
      <c r="H62" s="17" t="n">
        <v>0</v>
      </c>
      <c r="I62" s="17" t="n">
        <v>0</v>
      </c>
      <c r="J62" s="18" t="n">
        <v>0</v>
      </c>
      <c r="K62" s="19" t="n">
        <v>0</v>
      </c>
      <c r="L62" s="17"/>
      <c r="M62" s="17"/>
      <c r="N62" s="20"/>
    </row>
    <row r="63" customFormat="false" ht="15" hidden="false" customHeight="false" outlineLevel="0" collapsed="false">
      <c r="A63" s="4" t="s">
        <v>132</v>
      </c>
      <c r="B63" s="4" t="s">
        <v>55</v>
      </c>
      <c r="C63" s="7" t="n">
        <v>1</v>
      </c>
      <c r="D63" s="7" t="n">
        <v>2</v>
      </c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10" t="n">
        <v>0</v>
      </c>
      <c r="K63" s="14" t="n">
        <v>0</v>
      </c>
      <c r="L63" s="7"/>
      <c r="M63" s="7"/>
      <c r="N63" s="15"/>
    </row>
    <row r="64" customFormat="false" ht="15" hidden="false" customHeight="false" outlineLevel="0" collapsed="false">
      <c r="A64" s="16" t="s">
        <v>133</v>
      </c>
      <c r="B64" s="16" t="s">
        <v>55</v>
      </c>
      <c r="C64" s="17" t="n">
        <v>1</v>
      </c>
      <c r="D64" s="17" t="n">
        <v>1</v>
      </c>
      <c r="E64" s="17" t="n">
        <v>0</v>
      </c>
      <c r="F64" s="17" t="n">
        <v>0</v>
      </c>
      <c r="G64" s="17" t="n">
        <v>0</v>
      </c>
      <c r="H64" s="17" t="n">
        <v>0</v>
      </c>
      <c r="I64" s="17" t="n">
        <v>0</v>
      </c>
      <c r="J64" s="18" t="n">
        <v>0</v>
      </c>
      <c r="K64" s="19" t="n">
        <v>0</v>
      </c>
      <c r="L64" s="17"/>
      <c r="M64" s="17"/>
      <c r="N64" s="20"/>
    </row>
    <row r="65" customFormat="false" ht="15" hidden="false" customHeight="false" outlineLevel="0" collapsed="false">
      <c r="A65" s="4" t="s">
        <v>134</v>
      </c>
      <c r="B65" s="4" t="s">
        <v>55</v>
      </c>
      <c r="C65" s="7" t="n">
        <v>1</v>
      </c>
      <c r="D65" s="7" t="n">
        <v>1</v>
      </c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10" t="n">
        <v>0</v>
      </c>
      <c r="K65" s="14" t="n">
        <v>0</v>
      </c>
      <c r="L65" s="7"/>
      <c r="M65" s="7"/>
      <c r="N65" s="15"/>
    </row>
    <row r="66" customFormat="false" ht="15" hidden="false" customHeight="false" outlineLevel="0" collapsed="false">
      <c r="A66" s="16" t="s">
        <v>135</v>
      </c>
      <c r="B66" s="16" t="s">
        <v>55</v>
      </c>
      <c r="C66" s="17" t="n">
        <v>1</v>
      </c>
      <c r="D66" s="17" t="n">
        <v>2</v>
      </c>
      <c r="E66" s="17" t="n">
        <v>0</v>
      </c>
      <c r="F66" s="17" t="n">
        <v>0</v>
      </c>
      <c r="G66" s="17" t="n">
        <v>0</v>
      </c>
      <c r="H66" s="17" t="n">
        <v>0</v>
      </c>
      <c r="I66" s="17" t="n">
        <v>0</v>
      </c>
      <c r="J66" s="18" t="n">
        <v>0</v>
      </c>
      <c r="K66" s="19" t="n">
        <v>0</v>
      </c>
      <c r="L66" s="17"/>
      <c r="M66" s="17"/>
      <c r="N66" s="20"/>
    </row>
  </sheetData>
  <autoFilter ref="A4:N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9" min="3" style="0" width="6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8"/>
  </cols>
  <sheetData>
    <row r="1" customFormat="false" ht="19.7" hidden="false" customHeight="false" outlineLevel="0" collapsed="false">
      <c r="A1" s="1" t="s">
        <v>49</v>
      </c>
    </row>
    <row r="2" customFormat="false" ht="15" hidden="false" customHeight="false" outlineLevel="0" collapsed="false">
      <c r="A2" s="5" t="s">
        <v>72</v>
      </c>
    </row>
    <row r="4" customFormat="false" ht="19.5" hidden="false" customHeight="true" outlineLevel="0" collapsed="false">
      <c r="A4" s="12" t="s">
        <v>73</v>
      </c>
      <c r="B4" s="12" t="s">
        <v>41</v>
      </c>
      <c r="C4" s="13" t="s">
        <v>14</v>
      </c>
      <c r="D4" s="13" t="s">
        <v>16</v>
      </c>
      <c r="E4" s="13" t="s">
        <v>18</v>
      </c>
      <c r="F4" s="13" t="s">
        <v>20</v>
      </c>
      <c r="G4" s="13" t="s">
        <v>22</v>
      </c>
      <c r="H4" s="13" t="s">
        <v>24</v>
      </c>
      <c r="I4" s="13" t="s">
        <v>26</v>
      </c>
      <c r="J4" s="13" t="s">
        <v>28</v>
      </c>
      <c r="K4" s="13" t="s">
        <v>30</v>
      </c>
      <c r="L4" s="13" t="s">
        <v>32</v>
      </c>
      <c r="M4" s="13" t="s">
        <v>34</v>
      </c>
      <c r="N4" s="13" t="s">
        <v>36</v>
      </c>
    </row>
    <row r="5" customFormat="false" ht="15" hidden="false" customHeight="false" outlineLevel="0" collapsed="false">
      <c r="A5" s="4" t="s">
        <v>74</v>
      </c>
      <c r="B5" s="4" t="s">
        <v>49</v>
      </c>
      <c r="C5" s="7" t="n">
        <v>1</v>
      </c>
      <c r="D5" s="7" t="n">
        <v>2</v>
      </c>
      <c r="E5" s="7" t="n">
        <v>2</v>
      </c>
      <c r="F5" s="7" t="n">
        <v>1</v>
      </c>
      <c r="G5" s="7" t="n">
        <v>1</v>
      </c>
      <c r="H5" s="7" t="n">
        <v>0</v>
      </c>
      <c r="I5" s="7" t="n">
        <v>3</v>
      </c>
      <c r="J5" s="10" t="n">
        <v>1</v>
      </c>
      <c r="K5" s="14" t="n">
        <v>0</v>
      </c>
      <c r="L5" s="7"/>
      <c r="M5" s="7"/>
      <c r="N5" s="15"/>
    </row>
    <row r="6" customFormat="false" ht="15" hidden="false" customHeight="false" outlineLevel="0" collapsed="false">
      <c r="A6" s="16" t="s">
        <v>75</v>
      </c>
      <c r="B6" s="16" t="s">
        <v>49</v>
      </c>
      <c r="C6" s="17" t="n">
        <v>1</v>
      </c>
      <c r="D6" s="17" t="n">
        <v>2</v>
      </c>
      <c r="E6" s="17" t="n">
        <v>1</v>
      </c>
      <c r="F6" s="17" t="n">
        <v>1</v>
      </c>
      <c r="G6" s="17" t="n">
        <v>0</v>
      </c>
      <c r="H6" s="17" t="n">
        <v>0</v>
      </c>
      <c r="I6" s="17" t="n">
        <v>3</v>
      </c>
      <c r="J6" s="18" t="n">
        <v>0.5</v>
      </c>
      <c r="K6" s="19"/>
      <c r="L6" s="17"/>
      <c r="M6" s="17"/>
      <c r="N6" s="20"/>
    </row>
    <row r="7" customFormat="false" ht="15" hidden="false" customHeight="false" outlineLevel="0" collapsed="false">
      <c r="A7" s="4" t="s">
        <v>76</v>
      </c>
      <c r="B7" s="4" t="s">
        <v>49</v>
      </c>
      <c r="C7" s="7" t="n">
        <v>1</v>
      </c>
      <c r="D7" s="7" t="n">
        <v>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10" t="n">
        <v>1</v>
      </c>
      <c r="K7" s="14" t="n">
        <v>0</v>
      </c>
      <c r="L7" s="7"/>
      <c r="M7" s="7"/>
      <c r="N7" s="15"/>
    </row>
    <row r="8" customFormat="false" ht="15" hidden="false" customHeight="false" outlineLevel="0" collapsed="false">
      <c r="A8" s="16" t="s">
        <v>77</v>
      </c>
      <c r="B8" s="16" t="s">
        <v>49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0</v>
      </c>
      <c r="H8" s="17" t="n">
        <v>0</v>
      </c>
      <c r="I8" s="17" t="n">
        <v>2</v>
      </c>
      <c r="J8" s="18" t="n">
        <v>1</v>
      </c>
      <c r="K8" s="19"/>
      <c r="L8" s="17"/>
      <c r="M8" s="17"/>
      <c r="N8" s="20"/>
    </row>
    <row r="9" customFormat="false" ht="15" hidden="false" customHeight="false" outlineLevel="0" collapsed="false">
      <c r="A9" s="4" t="s">
        <v>78</v>
      </c>
      <c r="B9" s="4" t="s">
        <v>49</v>
      </c>
      <c r="C9" s="7" t="n">
        <v>1</v>
      </c>
      <c r="D9" s="7" t="n">
        <v>1</v>
      </c>
      <c r="E9" s="7" t="n">
        <v>1</v>
      </c>
      <c r="F9" s="7" t="n">
        <v>1</v>
      </c>
      <c r="G9" s="7" t="n">
        <v>0</v>
      </c>
      <c r="H9" s="7" t="n">
        <v>0</v>
      </c>
      <c r="I9" s="7" t="n">
        <v>2</v>
      </c>
      <c r="J9" s="10" t="n">
        <v>1</v>
      </c>
      <c r="K9" s="14"/>
      <c r="L9" s="7"/>
      <c r="M9" s="7"/>
      <c r="N9" s="15"/>
    </row>
    <row r="10" customFormat="false" ht="15" hidden="false" customHeight="false" outlineLevel="0" collapsed="false">
      <c r="A10" s="16" t="s">
        <v>79</v>
      </c>
      <c r="B10" s="16" t="s">
        <v>49</v>
      </c>
      <c r="C10" s="17" t="n">
        <v>1</v>
      </c>
      <c r="D10" s="17" t="n">
        <v>2</v>
      </c>
      <c r="E10" s="17" t="n">
        <v>2</v>
      </c>
      <c r="F10" s="17" t="n">
        <v>2</v>
      </c>
      <c r="G10" s="17" t="n">
        <v>0</v>
      </c>
      <c r="H10" s="17" t="n">
        <v>0</v>
      </c>
      <c r="I10" s="17" t="n">
        <v>1</v>
      </c>
      <c r="J10" s="18" t="n">
        <v>1</v>
      </c>
      <c r="K10" s="19"/>
      <c r="L10" s="17"/>
      <c r="M10" s="17"/>
      <c r="N10" s="20"/>
    </row>
    <row r="11" customFormat="false" ht="15" hidden="false" customHeight="false" outlineLevel="0" collapsed="false">
      <c r="A11" s="4" t="s">
        <v>80</v>
      </c>
      <c r="B11" s="4" t="s">
        <v>49</v>
      </c>
      <c r="C11" s="7" t="n">
        <v>1</v>
      </c>
      <c r="D11" s="7" t="n">
        <v>2</v>
      </c>
      <c r="E11" s="7" t="n">
        <v>2</v>
      </c>
      <c r="F11" s="7" t="n">
        <v>1</v>
      </c>
      <c r="G11" s="7" t="n">
        <v>0</v>
      </c>
      <c r="H11" s="7" t="n">
        <v>0</v>
      </c>
      <c r="I11" s="7" t="n">
        <v>1</v>
      </c>
      <c r="J11" s="10" t="n">
        <v>1</v>
      </c>
      <c r="K11" s="14"/>
      <c r="L11" s="7"/>
      <c r="M11" s="7"/>
      <c r="N11" s="15"/>
    </row>
    <row r="12" customFormat="false" ht="15" hidden="false" customHeight="false" outlineLevel="0" collapsed="false">
      <c r="A12" s="16" t="s">
        <v>81</v>
      </c>
      <c r="B12" s="16" t="s">
        <v>49</v>
      </c>
      <c r="C12" s="17" t="n">
        <v>1</v>
      </c>
      <c r="D12" s="17" t="n">
        <v>2</v>
      </c>
      <c r="E12" s="17" t="n">
        <v>1</v>
      </c>
      <c r="F12" s="17" t="n">
        <v>0</v>
      </c>
      <c r="G12" s="17" t="n">
        <v>0</v>
      </c>
      <c r="H12" s="17" t="n">
        <v>1</v>
      </c>
      <c r="I12" s="17" t="n">
        <v>1</v>
      </c>
      <c r="J12" s="18" t="n">
        <v>1</v>
      </c>
      <c r="K12" s="19" t="n">
        <v>0</v>
      </c>
      <c r="L12" s="17"/>
      <c r="M12" s="17"/>
      <c r="N12" s="20"/>
    </row>
    <row r="13" customFormat="false" ht="15" hidden="false" customHeight="false" outlineLevel="0" collapsed="false">
      <c r="A13" s="4" t="s">
        <v>82</v>
      </c>
      <c r="B13" s="4" t="s">
        <v>49</v>
      </c>
      <c r="C13" s="7" t="n">
        <v>1</v>
      </c>
      <c r="D13" s="7" t="n">
        <v>2</v>
      </c>
      <c r="E13" s="7" t="n">
        <v>1</v>
      </c>
      <c r="F13" s="7" t="n">
        <v>0</v>
      </c>
      <c r="G13" s="7" t="n">
        <v>0</v>
      </c>
      <c r="H13" s="7" t="n">
        <v>1</v>
      </c>
      <c r="I13" s="7" t="n">
        <v>1</v>
      </c>
      <c r="J13" s="10" t="n">
        <v>0.5</v>
      </c>
      <c r="K13" s="14" t="n">
        <v>0</v>
      </c>
      <c r="L13" s="7"/>
      <c r="M13" s="7"/>
      <c r="N13" s="15"/>
    </row>
    <row r="14" customFormat="false" ht="15" hidden="false" customHeight="false" outlineLevel="0" collapsed="false">
      <c r="A14" s="16" t="s">
        <v>83</v>
      </c>
      <c r="B14" s="16" t="s">
        <v>49</v>
      </c>
      <c r="C14" s="17" t="n">
        <v>1</v>
      </c>
      <c r="D14" s="17" t="n">
        <v>2</v>
      </c>
      <c r="E14" s="17" t="n">
        <v>1</v>
      </c>
      <c r="F14" s="17" t="n">
        <v>1</v>
      </c>
      <c r="G14" s="17" t="n">
        <v>0</v>
      </c>
      <c r="H14" s="17" t="n">
        <v>0</v>
      </c>
      <c r="I14" s="17" t="n">
        <v>1</v>
      </c>
      <c r="J14" s="18" t="n">
        <v>1</v>
      </c>
      <c r="K14" s="19" t="n">
        <v>0</v>
      </c>
      <c r="L14" s="17"/>
      <c r="M14" s="17"/>
      <c r="N14" s="20"/>
    </row>
    <row r="15" customFormat="false" ht="15" hidden="false" customHeight="false" outlineLevel="0" collapsed="false">
      <c r="A15" s="4" t="s">
        <v>84</v>
      </c>
      <c r="B15" s="4" t="s">
        <v>49</v>
      </c>
      <c r="C15" s="7" t="n">
        <v>1</v>
      </c>
      <c r="D15" s="7" t="n">
        <v>2</v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1</v>
      </c>
      <c r="J15" s="10" t="n">
        <v>0.5</v>
      </c>
      <c r="K15" s="14" t="n">
        <v>0</v>
      </c>
      <c r="L15" s="7"/>
      <c r="M15" s="7"/>
      <c r="N15" s="15"/>
    </row>
    <row r="16" customFormat="false" ht="15" hidden="false" customHeight="false" outlineLevel="0" collapsed="false">
      <c r="A16" s="16" t="s">
        <v>85</v>
      </c>
      <c r="B16" s="16" t="s">
        <v>49</v>
      </c>
      <c r="C16" s="17" t="n">
        <v>1</v>
      </c>
      <c r="D16" s="17" t="n">
        <v>2</v>
      </c>
      <c r="E16" s="17" t="n">
        <v>1</v>
      </c>
      <c r="F16" s="17" t="n">
        <v>1</v>
      </c>
      <c r="G16" s="17" t="n">
        <v>0</v>
      </c>
      <c r="H16" s="17" t="n">
        <v>0</v>
      </c>
      <c r="I16" s="17" t="n">
        <v>1</v>
      </c>
      <c r="J16" s="18" t="n">
        <v>0.5</v>
      </c>
      <c r="K16" s="19" t="n">
        <v>0</v>
      </c>
      <c r="L16" s="17"/>
      <c r="M16" s="17"/>
      <c r="N16" s="20"/>
    </row>
    <row r="17" customFormat="false" ht="15" hidden="false" customHeight="false" outlineLevel="0" collapsed="false">
      <c r="A17" s="4" t="s">
        <v>86</v>
      </c>
      <c r="B17" s="4" t="s">
        <v>49</v>
      </c>
      <c r="C17" s="7" t="n">
        <v>1</v>
      </c>
      <c r="D17" s="7" t="n">
        <v>2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1</v>
      </c>
      <c r="J17" s="10" t="n">
        <v>0</v>
      </c>
      <c r="K17" s="14" t="n">
        <v>0</v>
      </c>
      <c r="L17" s="7"/>
      <c r="M17" s="7"/>
      <c r="N17" s="15"/>
    </row>
    <row r="18" customFormat="false" ht="15" hidden="false" customHeight="false" outlineLevel="0" collapsed="false">
      <c r="A18" s="16" t="s">
        <v>87</v>
      </c>
      <c r="B18" s="16" t="s">
        <v>49</v>
      </c>
      <c r="C18" s="17" t="n">
        <v>1</v>
      </c>
      <c r="D18" s="17" t="n">
        <v>2</v>
      </c>
      <c r="E18" s="17" t="n">
        <v>2</v>
      </c>
      <c r="F18" s="17" t="n">
        <v>0</v>
      </c>
      <c r="G18" s="17" t="n">
        <v>0</v>
      </c>
      <c r="H18" s="17" t="n">
        <v>0</v>
      </c>
      <c r="I18" s="17" t="n">
        <v>0</v>
      </c>
      <c r="J18" s="18" t="n">
        <v>1</v>
      </c>
      <c r="K18" s="19"/>
      <c r="L18" s="17"/>
      <c r="M18" s="17"/>
      <c r="N18" s="20"/>
    </row>
    <row r="19" customFormat="false" ht="15" hidden="false" customHeight="false" outlineLevel="0" collapsed="false">
      <c r="A19" s="4" t="s">
        <v>88</v>
      </c>
      <c r="B19" s="4" t="s">
        <v>49</v>
      </c>
      <c r="C19" s="7" t="n">
        <v>1</v>
      </c>
      <c r="D19" s="7" t="n">
        <v>2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10" t="n">
        <v>0.5</v>
      </c>
      <c r="K19" s="14" t="n">
        <v>3</v>
      </c>
      <c r="L19" s="7" t="n">
        <v>1</v>
      </c>
      <c r="M19" s="7" t="n">
        <v>3</v>
      </c>
      <c r="N19" s="15" t="n">
        <v>2.33</v>
      </c>
    </row>
    <row r="20" customFormat="false" ht="15" hidden="false" customHeight="false" outlineLevel="0" collapsed="false">
      <c r="A20" s="16" t="s">
        <v>89</v>
      </c>
      <c r="B20" s="16" t="s">
        <v>49</v>
      </c>
      <c r="C20" s="17" t="n">
        <v>1</v>
      </c>
      <c r="D20" s="17" t="n">
        <v>2</v>
      </c>
      <c r="E20" s="17" t="n">
        <v>1</v>
      </c>
      <c r="F20" s="17" t="n">
        <v>0</v>
      </c>
      <c r="G20" s="17" t="n">
        <v>1</v>
      </c>
      <c r="H20" s="17" t="n">
        <v>0</v>
      </c>
      <c r="I20" s="17" t="n">
        <v>0</v>
      </c>
      <c r="J20" s="18" t="n">
        <v>1</v>
      </c>
      <c r="K20" s="19" t="n">
        <v>0</v>
      </c>
      <c r="L20" s="17"/>
      <c r="M20" s="17"/>
      <c r="N20" s="20"/>
    </row>
    <row r="21" customFormat="false" ht="15" hidden="false" customHeight="false" outlineLevel="0" collapsed="false">
      <c r="A21" s="4" t="s">
        <v>90</v>
      </c>
      <c r="B21" s="4" t="s">
        <v>49</v>
      </c>
      <c r="C21" s="7" t="n">
        <v>1</v>
      </c>
      <c r="D21" s="7" t="n">
        <v>2</v>
      </c>
      <c r="E21" s="7" t="n">
        <v>1</v>
      </c>
      <c r="F21" s="7" t="n">
        <v>0</v>
      </c>
      <c r="G21" s="7" t="n">
        <v>0</v>
      </c>
      <c r="H21" s="7" t="n">
        <v>0</v>
      </c>
      <c r="I21" s="7" t="n">
        <v>0</v>
      </c>
      <c r="J21" s="10" t="n">
        <v>1</v>
      </c>
      <c r="K21" s="14"/>
      <c r="L21" s="7"/>
      <c r="M21" s="7"/>
      <c r="N21" s="15"/>
    </row>
    <row r="22" customFormat="false" ht="15" hidden="false" customHeight="false" outlineLevel="0" collapsed="false">
      <c r="A22" s="16" t="s">
        <v>91</v>
      </c>
      <c r="B22" s="16" t="s">
        <v>49</v>
      </c>
      <c r="C22" s="17" t="n">
        <v>1</v>
      </c>
      <c r="D22" s="17" t="n">
        <v>1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8" t="n">
        <v>0</v>
      </c>
      <c r="K22" s="19"/>
      <c r="L22" s="17"/>
      <c r="M22" s="17"/>
      <c r="N22" s="20"/>
    </row>
    <row r="23" customFormat="false" ht="15" hidden="false" customHeight="false" outlineLevel="0" collapsed="false">
      <c r="A23" s="21" t="s">
        <v>136</v>
      </c>
      <c r="B23" s="22"/>
      <c r="C23" s="22"/>
      <c r="D23" s="23" t="n">
        <f aca="false">SUM(D5:D22)</f>
        <v>33</v>
      </c>
      <c r="E23" s="23" t="n">
        <f aca="false">SUM(E5:E22)</f>
        <v>20</v>
      </c>
      <c r="F23" s="23" t="n">
        <f aca="false">SUM(F5:F22)</f>
        <v>10</v>
      </c>
      <c r="G23" s="23" t="n">
        <f aca="false">SUM(G5:G22)</f>
        <v>2</v>
      </c>
      <c r="H23" s="23" t="n">
        <f aca="false">SUM(H5:H22)</f>
        <v>2</v>
      </c>
      <c r="I23" s="23" t="n">
        <f aca="false">SUM(I5:I22)</f>
        <v>20</v>
      </c>
      <c r="J23" s="22"/>
      <c r="K23" s="24" t="n">
        <f aca="false">SUM(K5:K22)</f>
        <v>3</v>
      </c>
      <c r="L23" s="23" t="n">
        <f aca="false">SUM(L5:L22)</f>
        <v>1</v>
      </c>
      <c r="M23" s="23" t="n">
        <f aca="false">SUM(M5:M22)</f>
        <v>3</v>
      </c>
      <c r="N23" s="22"/>
    </row>
  </sheetData>
  <autoFilter ref="A4:N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9" min="3" style="0" width="6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8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5" t="s">
        <v>72</v>
      </c>
    </row>
    <row r="4" customFormat="false" ht="19.5" hidden="false" customHeight="true" outlineLevel="0" collapsed="false">
      <c r="A4" s="12" t="s">
        <v>73</v>
      </c>
      <c r="B4" s="12" t="s">
        <v>41</v>
      </c>
      <c r="C4" s="13" t="s">
        <v>14</v>
      </c>
      <c r="D4" s="13" t="s">
        <v>16</v>
      </c>
      <c r="E4" s="13" t="s">
        <v>18</v>
      </c>
      <c r="F4" s="13" t="s">
        <v>20</v>
      </c>
      <c r="G4" s="13" t="s">
        <v>22</v>
      </c>
      <c r="H4" s="13" t="s">
        <v>24</v>
      </c>
      <c r="I4" s="13" t="s">
        <v>26</v>
      </c>
      <c r="J4" s="13" t="s">
        <v>28</v>
      </c>
      <c r="K4" s="13" t="s">
        <v>30</v>
      </c>
      <c r="L4" s="13" t="s">
        <v>32</v>
      </c>
      <c r="M4" s="13" t="s">
        <v>34</v>
      </c>
      <c r="N4" s="13" t="s">
        <v>36</v>
      </c>
    </row>
    <row r="5" customFormat="false" ht="15" hidden="false" customHeight="false" outlineLevel="0" collapsed="false">
      <c r="A5" s="4" t="s">
        <v>92</v>
      </c>
      <c r="B5" s="4" t="s">
        <v>51</v>
      </c>
      <c r="C5" s="7" t="n">
        <v>1</v>
      </c>
      <c r="D5" s="7" t="n">
        <v>3</v>
      </c>
      <c r="E5" s="7" t="n">
        <v>2</v>
      </c>
      <c r="F5" s="7" t="n">
        <v>0</v>
      </c>
      <c r="G5" s="7" t="n">
        <v>0</v>
      </c>
      <c r="H5" s="7" t="n">
        <v>0</v>
      </c>
      <c r="I5" s="7" t="n">
        <v>4</v>
      </c>
      <c r="J5" s="10" t="n">
        <v>0.667</v>
      </c>
      <c r="K5" s="14"/>
      <c r="L5" s="7"/>
      <c r="M5" s="7"/>
      <c r="N5" s="15"/>
    </row>
    <row r="6" customFormat="false" ht="15" hidden="false" customHeight="false" outlineLevel="0" collapsed="false">
      <c r="A6" s="16" t="s">
        <v>93</v>
      </c>
      <c r="B6" s="16" t="s">
        <v>51</v>
      </c>
      <c r="C6" s="17" t="n">
        <v>1</v>
      </c>
      <c r="D6" s="17" t="n">
        <v>3</v>
      </c>
      <c r="E6" s="17" t="n">
        <v>2</v>
      </c>
      <c r="F6" s="17" t="n">
        <v>1</v>
      </c>
      <c r="G6" s="17" t="n">
        <v>1</v>
      </c>
      <c r="H6" s="17" t="n">
        <v>0</v>
      </c>
      <c r="I6" s="17" t="n">
        <v>3</v>
      </c>
      <c r="J6" s="18" t="n">
        <v>1</v>
      </c>
      <c r="K6" s="19"/>
      <c r="L6" s="17"/>
      <c r="M6" s="17"/>
      <c r="N6" s="20"/>
    </row>
    <row r="7" customFormat="false" ht="15" hidden="false" customHeight="false" outlineLevel="0" collapsed="false">
      <c r="A7" s="4" t="s">
        <v>94</v>
      </c>
      <c r="B7" s="4" t="s">
        <v>51</v>
      </c>
      <c r="C7" s="7" t="n">
        <v>1</v>
      </c>
      <c r="D7" s="7" t="n">
        <v>2</v>
      </c>
      <c r="E7" s="7" t="n">
        <v>2</v>
      </c>
      <c r="F7" s="7" t="n">
        <v>1</v>
      </c>
      <c r="G7" s="7" t="n">
        <v>0</v>
      </c>
      <c r="H7" s="7" t="n">
        <v>0</v>
      </c>
      <c r="I7" s="7" t="n">
        <v>3</v>
      </c>
      <c r="J7" s="10" t="n">
        <v>1</v>
      </c>
      <c r="K7" s="14" t="n">
        <v>1</v>
      </c>
      <c r="L7" s="7"/>
      <c r="M7" s="7" t="n">
        <v>0</v>
      </c>
      <c r="N7" s="15" t="n">
        <v>0</v>
      </c>
    </row>
    <row r="8" customFormat="false" ht="15" hidden="false" customHeight="false" outlineLevel="0" collapsed="false">
      <c r="A8" s="16" t="s">
        <v>95</v>
      </c>
      <c r="B8" s="16" t="s">
        <v>51</v>
      </c>
      <c r="C8" s="17" t="n">
        <v>1</v>
      </c>
      <c r="D8" s="17" t="n">
        <v>3</v>
      </c>
      <c r="E8" s="17" t="n">
        <v>2</v>
      </c>
      <c r="F8" s="17" t="n">
        <v>0</v>
      </c>
      <c r="G8" s="17" t="n">
        <v>0</v>
      </c>
      <c r="H8" s="17" t="n">
        <v>0</v>
      </c>
      <c r="I8" s="17" t="n">
        <v>1</v>
      </c>
      <c r="J8" s="18" t="n">
        <v>0.667</v>
      </c>
      <c r="K8" s="19"/>
      <c r="L8" s="17"/>
      <c r="M8" s="17"/>
      <c r="N8" s="20"/>
    </row>
    <row r="9" customFormat="false" ht="15" hidden="false" customHeight="false" outlineLevel="0" collapsed="false">
      <c r="A9" s="4" t="s">
        <v>96</v>
      </c>
      <c r="B9" s="4" t="s">
        <v>51</v>
      </c>
      <c r="C9" s="7" t="n">
        <v>1</v>
      </c>
      <c r="D9" s="7" t="n">
        <v>3</v>
      </c>
      <c r="E9" s="7" t="n">
        <v>2</v>
      </c>
      <c r="F9" s="7" t="n">
        <v>0</v>
      </c>
      <c r="G9" s="7" t="n">
        <v>0</v>
      </c>
      <c r="H9" s="7" t="n">
        <v>0</v>
      </c>
      <c r="I9" s="7" t="n">
        <v>1</v>
      </c>
      <c r="J9" s="10" t="n">
        <v>0.667</v>
      </c>
      <c r="K9" s="14"/>
      <c r="L9" s="7"/>
      <c r="M9" s="7"/>
      <c r="N9" s="15"/>
    </row>
    <row r="10" customFormat="false" ht="15" hidden="false" customHeight="false" outlineLevel="0" collapsed="false">
      <c r="A10" s="16" t="s">
        <v>97</v>
      </c>
      <c r="B10" s="16" t="s">
        <v>51</v>
      </c>
      <c r="C10" s="17" t="n">
        <v>1</v>
      </c>
      <c r="D10" s="17" t="n">
        <v>2</v>
      </c>
      <c r="E10" s="17" t="n">
        <v>2</v>
      </c>
      <c r="F10" s="17" t="n">
        <v>0</v>
      </c>
      <c r="G10" s="17" t="n">
        <v>0</v>
      </c>
      <c r="H10" s="17" t="n">
        <v>1</v>
      </c>
      <c r="I10" s="17" t="n">
        <v>1</v>
      </c>
      <c r="J10" s="18" t="n">
        <v>1</v>
      </c>
      <c r="K10" s="19"/>
      <c r="L10" s="17"/>
      <c r="M10" s="17"/>
      <c r="N10" s="20"/>
    </row>
    <row r="11" customFormat="false" ht="15" hidden="false" customHeight="false" outlineLevel="0" collapsed="false">
      <c r="A11" s="4" t="s">
        <v>98</v>
      </c>
      <c r="B11" s="4" t="s">
        <v>51</v>
      </c>
      <c r="C11" s="7" t="n">
        <v>1</v>
      </c>
      <c r="D11" s="7" t="n">
        <v>2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1</v>
      </c>
      <c r="J11" s="10" t="n">
        <v>0.5</v>
      </c>
      <c r="K11" s="14"/>
      <c r="L11" s="7"/>
      <c r="M11" s="7"/>
      <c r="N11" s="15"/>
    </row>
    <row r="12" customFormat="false" ht="15" hidden="false" customHeight="false" outlineLevel="0" collapsed="false">
      <c r="A12" s="16" t="s">
        <v>99</v>
      </c>
      <c r="B12" s="16" t="s">
        <v>51</v>
      </c>
      <c r="C12" s="17" t="n">
        <v>1</v>
      </c>
      <c r="D12" s="17" t="n">
        <v>3</v>
      </c>
      <c r="E12" s="17" t="n">
        <v>1</v>
      </c>
      <c r="F12" s="17" t="n">
        <v>0</v>
      </c>
      <c r="G12" s="17" t="n">
        <v>1</v>
      </c>
      <c r="H12" s="17" t="n">
        <v>0</v>
      </c>
      <c r="I12" s="17" t="n">
        <v>1</v>
      </c>
      <c r="J12" s="18" t="n">
        <v>0.333</v>
      </c>
      <c r="K12" s="19"/>
      <c r="L12" s="17"/>
      <c r="M12" s="17"/>
      <c r="N12" s="20"/>
    </row>
    <row r="13" customFormat="false" ht="15" hidden="false" customHeight="false" outlineLevel="0" collapsed="false">
      <c r="A13" s="4" t="s">
        <v>100</v>
      </c>
      <c r="B13" s="4" t="s">
        <v>51</v>
      </c>
      <c r="C13" s="7" t="n">
        <v>1</v>
      </c>
      <c r="D13" s="7" t="n">
        <v>2</v>
      </c>
      <c r="E13" s="7" t="n">
        <v>1</v>
      </c>
      <c r="F13" s="7" t="n">
        <v>0</v>
      </c>
      <c r="G13" s="7" t="n">
        <v>0</v>
      </c>
      <c r="H13" s="7" t="n">
        <v>0</v>
      </c>
      <c r="I13" s="7" t="n">
        <v>0</v>
      </c>
      <c r="J13" s="10" t="n">
        <v>0.5</v>
      </c>
      <c r="K13" s="14"/>
      <c r="L13" s="7"/>
      <c r="M13" s="7"/>
      <c r="N13" s="15"/>
    </row>
    <row r="14" customFormat="false" ht="15" hidden="false" customHeight="false" outlineLevel="0" collapsed="false">
      <c r="A14" s="16" t="s">
        <v>101</v>
      </c>
      <c r="B14" s="16" t="s">
        <v>51</v>
      </c>
      <c r="C14" s="17" t="n">
        <v>1</v>
      </c>
      <c r="D14" s="17" t="n">
        <v>2</v>
      </c>
      <c r="E14" s="17" t="n">
        <v>1</v>
      </c>
      <c r="F14" s="17" t="n">
        <v>0</v>
      </c>
      <c r="G14" s="17" t="n">
        <v>0</v>
      </c>
      <c r="H14" s="17" t="n">
        <v>0</v>
      </c>
      <c r="I14" s="17" t="n">
        <v>0</v>
      </c>
      <c r="J14" s="18" t="n">
        <v>0.5</v>
      </c>
      <c r="K14" s="19" t="n">
        <v>0</v>
      </c>
      <c r="L14" s="17"/>
      <c r="M14" s="17"/>
      <c r="N14" s="20"/>
    </row>
    <row r="15" customFormat="false" ht="15" hidden="false" customHeight="false" outlineLevel="0" collapsed="false">
      <c r="A15" s="4" t="s">
        <v>102</v>
      </c>
      <c r="B15" s="4" t="s">
        <v>51</v>
      </c>
      <c r="C15" s="7" t="n">
        <v>1</v>
      </c>
      <c r="D15" s="7" t="n">
        <v>3</v>
      </c>
      <c r="E15" s="7" t="n">
        <v>1</v>
      </c>
      <c r="F15" s="7" t="n">
        <v>0</v>
      </c>
      <c r="G15" s="7" t="n">
        <v>0</v>
      </c>
      <c r="H15" s="7" t="n">
        <v>0</v>
      </c>
      <c r="I15" s="7" t="n">
        <v>0</v>
      </c>
      <c r="J15" s="10" t="n">
        <v>0.333</v>
      </c>
      <c r="K15" s="14"/>
      <c r="L15" s="7"/>
      <c r="M15" s="7"/>
      <c r="N15" s="15"/>
    </row>
    <row r="16" customFormat="false" ht="15" hidden="false" customHeight="false" outlineLevel="0" collapsed="false">
      <c r="A16" s="16" t="s">
        <v>103</v>
      </c>
      <c r="B16" s="16" t="s">
        <v>51</v>
      </c>
      <c r="C16" s="17" t="n">
        <v>1</v>
      </c>
      <c r="D16" s="17" t="n">
        <v>2</v>
      </c>
      <c r="E16" s="17" t="n">
        <v>1</v>
      </c>
      <c r="F16" s="17" t="n">
        <v>0</v>
      </c>
      <c r="G16" s="17" t="n">
        <v>0</v>
      </c>
      <c r="H16" s="17" t="n">
        <v>0</v>
      </c>
      <c r="I16" s="17" t="n">
        <v>0</v>
      </c>
      <c r="J16" s="18" t="n">
        <v>0.5</v>
      </c>
      <c r="K16" s="19"/>
      <c r="L16" s="17"/>
      <c r="M16" s="17"/>
      <c r="N16" s="20"/>
    </row>
    <row r="17" customFormat="false" ht="15" hidden="false" customHeight="false" outlineLevel="0" collapsed="false">
      <c r="A17" s="4" t="s">
        <v>104</v>
      </c>
      <c r="B17" s="4" t="s">
        <v>51</v>
      </c>
      <c r="C17" s="7" t="n">
        <v>1</v>
      </c>
      <c r="D17" s="7" t="n">
        <v>2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10" t="n">
        <v>0</v>
      </c>
      <c r="K17" s="14"/>
      <c r="L17" s="7"/>
      <c r="M17" s="7"/>
      <c r="N17" s="15"/>
    </row>
    <row r="18" customFormat="false" ht="15" hidden="false" customHeight="false" outlineLevel="0" collapsed="false">
      <c r="A18" s="16" t="s">
        <v>105</v>
      </c>
      <c r="B18" s="16" t="s">
        <v>51</v>
      </c>
      <c r="C18" s="17" t="n">
        <v>1</v>
      </c>
      <c r="D18" s="17" t="n">
        <v>2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8" t="n">
        <v>0</v>
      </c>
      <c r="K18" s="19" t="n">
        <v>4</v>
      </c>
      <c r="L18" s="17" t="n">
        <v>1</v>
      </c>
      <c r="M18" s="17" t="n">
        <v>0</v>
      </c>
      <c r="N18" s="20" t="n">
        <v>8.75</v>
      </c>
    </row>
    <row r="19" customFormat="false" ht="15" hidden="false" customHeight="false" outlineLevel="0" collapsed="false">
      <c r="A19" s="21" t="s">
        <v>136</v>
      </c>
      <c r="B19" s="22"/>
      <c r="C19" s="22"/>
      <c r="D19" s="23" t="n">
        <f aca="false">SUM(D5:D18)</f>
        <v>34</v>
      </c>
      <c r="E19" s="23" t="n">
        <f aca="false">SUM(E5:E18)</f>
        <v>18</v>
      </c>
      <c r="F19" s="23" t="n">
        <f aca="false">SUM(F5:F18)</f>
        <v>2</v>
      </c>
      <c r="G19" s="23" t="n">
        <f aca="false">SUM(G5:G18)</f>
        <v>2</v>
      </c>
      <c r="H19" s="23" t="n">
        <f aca="false">SUM(H5:H18)</f>
        <v>1</v>
      </c>
      <c r="I19" s="23" t="n">
        <f aca="false">SUM(I5:I18)</f>
        <v>15</v>
      </c>
      <c r="J19" s="22"/>
      <c r="K19" s="24" t="n">
        <f aca="false">SUM(K5:K18)</f>
        <v>5</v>
      </c>
      <c r="L19" s="23" t="n">
        <f aca="false">SUM(L5:L18)</f>
        <v>1</v>
      </c>
      <c r="M19" s="23" t="n">
        <f aca="false">SUM(M5:M18)</f>
        <v>0</v>
      </c>
      <c r="N19" s="22"/>
    </row>
  </sheetData>
  <autoFilter ref="A4:N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9" min="3" style="0" width="6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8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5" t="s">
        <v>72</v>
      </c>
    </row>
    <row r="4" customFormat="false" ht="19.5" hidden="false" customHeight="true" outlineLevel="0" collapsed="false">
      <c r="A4" s="12" t="s">
        <v>73</v>
      </c>
      <c r="B4" s="12" t="s">
        <v>41</v>
      </c>
      <c r="C4" s="13" t="s">
        <v>14</v>
      </c>
      <c r="D4" s="13" t="s">
        <v>16</v>
      </c>
      <c r="E4" s="13" t="s">
        <v>18</v>
      </c>
      <c r="F4" s="13" t="s">
        <v>20</v>
      </c>
      <c r="G4" s="13" t="s">
        <v>22</v>
      </c>
      <c r="H4" s="13" t="s">
        <v>24</v>
      </c>
      <c r="I4" s="13" t="s">
        <v>26</v>
      </c>
      <c r="J4" s="13" t="s">
        <v>28</v>
      </c>
      <c r="K4" s="13" t="s">
        <v>30</v>
      </c>
      <c r="L4" s="13" t="s">
        <v>32</v>
      </c>
      <c r="M4" s="13" t="s">
        <v>34</v>
      </c>
      <c r="N4" s="13" t="s">
        <v>36</v>
      </c>
    </row>
    <row r="5" customFormat="false" ht="15" hidden="false" customHeight="false" outlineLevel="0" collapsed="false">
      <c r="A5" s="4" t="s">
        <v>106</v>
      </c>
      <c r="B5" s="4" t="s">
        <v>53</v>
      </c>
      <c r="C5" s="7" t="n">
        <v>1</v>
      </c>
      <c r="D5" s="7" t="n">
        <v>2</v>
      </c>
      <c r="E5" s="7" t="n">
        <v>2</v>
      </c>
      <c r="F5" s="7" t="n">
        <v>0</v>
      </c>
      <c r="G5" s="7" t="n">
        <v>0</v>
      </c>
      <c r="H5" s="7" t="n">
        <v>0</v>
      </c>
      <c r="I5" s="7" t="n">
        <v>2</v>
      </c>
      <c r="J5" s="10" t="n">
        <v>1</v>
      </c>
      <c r="K5" s="14" t="n">
        <v>0</v>
      </c>
      <c r="L5" s="7"/>
      <c r="M5" s="7"/>
      <c r="N5" s="15"/>
    </row>
    <row r="6" customFormat="false" ht="15" hidden="false" customHeight="false" outlineLevel="0" collapsed="false">
      <c r="A6" s="16" t="s">
        <v>107</v>
      </c>
      <c r="B6" s="16" t="s">
        <v>53</v>
      </c>
      <c r="C6" s="17" t="n">
        <v>1</v>
      </c>
      <c r="D6" s="17" t="n">
        <v>1</v>
      </c>
      <c r="E6" s="17" t="n">
        <v>1</v>
      </c>
      <c r="F6" s="17" t="n">
        <v>0</v>
      </c>
      <c r="G6" s="17" t="n">
        <v>0</v>
      </c>
      <c r="H6" s="17" t="n">
        <v>0</v>
      </c>
      <c r="I6" s="17" t="n">
        <v>1</v>
      </c>
      <c r="J6" s="18" t="n">
        <v>1</v>
      </c>
      <c r="K6" s="19"/>
      <c r="L6" s="17"/>
      <c r="M6" s="17"/>
      <c r="N6" s="20"/>
    </row>
    <row r="7" customFormat="false" ht="15" hidden="false" customHeight="false" outlineLevel="0" collapsed="false">
      <c r="A7" s="4" t="s">
        <v>108</v>
      </c>
      <c r="B7" s="4" t="s">
        <v>53</v>
      </c>
      <c r="C7" s="7" t="n">
        <v>1</v>
      </c>
      <c r="D7" s="7" t="n">
        <v>3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1</v>
      </c>
      <c r="J7" s="10" t="n">
        <v>0</v>
      </c>
      <c r="K7" s="14" t="n">
        <v>0</v>
      </c>
      <c r="L7" s="7"/>
      <c r="M7" s="7"/>
      <c r="N7" s="15"/>
    </row>
    <row r="8" customFormat="false" ht="15" hidden="false" customHeight="false" outlineLevel="0" collapsed="false">
      <c r="A8" s="16" t="s">
        <v>109</v>
      </c>
      <c r="B8" s="16" t="s">
        <v>53</v>
      </c>
      <c r="C8" s="17" t="n">
        <v>1</v>
      </c>
      <c r="D8" s="17" t="n">
        <v>2</v>
      </c>
      <c r="E8" s="17" t="n">
        <v>2</v>
      </c>
      <c r="F8" s="17" t="n">
        <v>0</v>
      </c>
      <c r="G8" s="17" t="n">
        <v>0</v>
      </c>
      <c r="H8" s="17" t="n">
        <v>0</v>
      </c>
      <c r="I8" s="17" t="n">
        <v>0</v>
      </c>
      <c r="J8" s="18" t="n">
        <v>1</v>
      </c>
      <c r="K8" s="19" t="n">
        <v>0</v>
      </c>
      <c r="L8" s="17"/>
      <c r="M8" s="17"/>
      <c r="N8" s="20"/>
    </row>
    <row r="9" customFormat="false" ht="15" hidden="false" customHeight="false" outlineLevel="0" collapsed="false">
      <c r="A9" s="4" t="s">
        <v>110</v>
      </c>
      <c r="B9" s="4" t="s">
        <v>53</v>
      </c>
      <c r="C9" s="7" t="n">
        <v>1</v>
      </c>
      <c r="D9" s="7" t="n">
        <v>2</v>
      </c>
      <c r="E9" s="7" t="n">
        <v>1</v>
      </c>
      <c r="F9" s="7" t="n">
        <v>0</v>
      </c>
      <c r="G9" s="7" t="n">
        <v>0</v>
      </c>
      <c r="H9" s="7" t="n">
        <v>0</v>
      </c>
      <c r="I9" s="7" t="n">
        <v>0</v>
      </c>
      <c r="J9" s="10" t="n">
        <v>0.5</v>
      </c>
      <c r="K9" s="14" t="n">
        <v>0</v>
      </c>
      <c r="L9" s="7"/>
      <c r="M9" s="7"/>
      <c r="N9" s="15"/>
    </row>
    <row r="10" customFormat="false" ht="15" hidden="false" customHeight="false" outlineLevel="0" collapsed="false">
      <c r="A10" s="16" t="s">
        <v>111</v>
      </c>
      <c r="B10" s="16" t="s">
        <v>53</v>
      </c>
      <c r="C10" s="17" t="n">
        <v>1</v>
      </c>
      <c r="D10" s="17" t="n">
        <v>2</v>
      </c>
      <c r="E10" s="17" t="n">
        <v>1</v>
      </c>
      <c r="F10" s="17" t="n">
        <v>0</v>
      </c>
      <c r="G10" s="17" t="n">
        <v>0</v>
      </c>
      <c r="H10" s="17" t="n">
        <v>0</v>
      </c>
      <c r="I10" s="17" t="n">
        <v>0</v>
      </c>
      <c r="J10" s="18" t="n">
        <v>0.5</v>
      </c>
      <c r="K10" s="19" t="n">
        <v>2</v>
      </c>
      <c r="L10" s="17" t="n">
        <v>0</v>
      </c>
      <c r="M10" s="17" t="n">
        <v>1</v>
      </c>
      <c r="N10" s="20" t="n">
        <v>21</v>
      </c>
    </row>
    <row r="11" customFormat="false" ht="15" hidden="false" customHeight="false" outlineLevel="0" collapsed="false">
      <c r="A11" s="4" t="s">
        <v>112</v>
      </c>
      <c r="B11" s="4" t="s">
        <v>53</v>
      </c>
      <c r="C11" s="7" t="n">
        <v>1</v>
      </c>
      <c r="D11" s="7" t="n">
        <v>2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0</v>
      </c>
      <c r="J11" s="10" t="n">
        <v>0.5</v>
      </c>
      <c r="K11" s="14"/>
      <c r="L11" s="7"/>
      <c r="M11" s="7"/>
      <c r="N11" s="15"/>
    </row>
    <row r="12" customFormat="false" ht="15" hidden="false" customHeight="false" outlineLevel="0" collapsed="false">
      <c r="A12" s="16" t="s">
        <v>113</v>
      </c>
      <c r="B12" s="16" t="s">
        <v>53</v>
      </c>
      <c r="C12" s="17" t="n">
        <v>1</v>
      </c>
      <c r="D12" s="17" t="n">
        <v>1</v>
      </c>
      <c r="E12" s="17" t="n">
        <v>1</v>
      </c>
      <c r="F12" s="17" t="n">
        <v>0</v>
      </c>
      <c r="G12" s="17" t="n">
        <v>0</v>
      </c>
      <c r="H12" s="17" t="n">
        <v>0</v>
      </c>
      <c r="I12" s="17" t="n">
        <v>0</v>
      </c>
      <c r="J12" s="18" t="n">
        <v>1</v>
      </c>
      <c r="K12" s="19" t="n">
        <v>0</v>
      </c>
      <c r="L12" s="17"/>
      <c r="M12" s="17"/>
      <c r="N12" s="20"/>
    </row>
    <row r="13" customFormat="false" ht="15" hidden="false" customHeight="false" outlineLevel="0" collapsed="false">
      <c r="A13" s="4" t="s">
        <v>114</v>
      </c>
      <c r="B13" s="4" t="s">
        <v>53</v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0</v>
      </c>
      <c r="H13" s="7" t="n">
        <v>0</v>
      </c>
      <c r="I13" s="7" t="n">
        <v>0</v>
      </c>
      <c r="J13" s="10" t="n">
        <v>1</v>
      </c>
      <c r="K13" s="14"/>
      <c r="L13" s="7"/>
      <c r="M13" s="7"/>
      <c r="N13" s="15"/>
    </row>
    <row r="14" customFormat="false" ht="15" hidden="false" customHeight="false" outlineLevel="0" collapsed="false">
      <c r="A14" s="16" t="s">
        <v>115</v>
      </c>
      <c r="B14" s="16" t="s">
        <v>53</v>
      </c>
      <c r="C14" s="17" t="n">
        <v>1</v>
      </c>
      <c r="D14" s="17" t="n">
        <v>1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8" t="n">
        <v>0</v>
      </c>
      <c r="K14" s="19"/>
      <c r="L14" s="17"/>
      <c r="M14" s="17"/>
      <c r="N14" s="20"/>
    </row>
    <row r="15" customFormat="false" ht="15" hidden="false" customHeight="false" outlineLevel="0" collapsed="false">
      <c r="A15" s="4" t="s">
        <v>116</v>
      </c>
      <c r="B15" s="4" t="s">
        <v>53</v>
      </c>
      <c r="C15" s="7" t="n">
        <v>1</v>
      </c>
      <c r="D15" s="7" t="n">
        <v>1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10" t="n">
        <v>0</v>
      </c>
      <c r="K15" s="14" t="n">
        <v>0</v>
      </c>
      <c r="L15" s="7"/>
      <c r="M15" s="7"/>
      <c r="N15" s="15"/>
    </row>
    <row r="16" customFormat="false" ht="15" hidden="false" customHeight="false" outlineLevel="0" collapsed="false">
      <c r="A16" s="16" t="s">
        <v>117</v>
      </c>
      <c r="B16" s="16" t="s">
        <v>53</v>
      </c>
      <c r="C16" s="17" t="n">
        <v>1</v>
      </c>
      <c r="D16" s="17" t="n">
        <v>1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8" t="n">
        <v>0</v>
      </c>
      <c r="K16" s="19" t="n">
        <v>0</v>
      </c>
      <c r="L16" s="17"/>
      <c r="M16" s="17"/>
      <c r="N16" s="20"/>
    </row>
    <row r="17" customFormat="false" ht="15" hidden="false" customHeight="false" outlineLevel="0" collapsed="false">
      <c r="A17" s="4" t="s">
        <v>118</v>
      </c>
      <c r="B17" s="4" t="s">
        <v>53</v>
      </c>
      <c r="C17" s="7" t="n">
        <v>1</v>
      </c>
      <c r="D17" s="7" t="n">
        <v>2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10" t="n">
        <v>0</v>
      </c>
      <c r="K17" s="14" t="n">
        <v>0</v>
      </c>
      <c r="L17" s="7"/>
      <c r="M17" s="7"/>
      <c r="N17" s="15"/>
    </row>
    <row r="18" customFormat="false" ht="15" hidden="false" customHeight="false" outlineLevel="0" collapsed="false">
      <c r="A18" s="16" t="s">
        <v>119</v>
      </c>
      <c r="B18" s="16" t="s">
        <v>53</v>
      </c>
      <c r="C18" s="17" t="n">
        <v>1</v>
      </c>
      <c r="D18" s="17" t="n">
        <v>1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8" t="n">
        <v>0</v>
      </c>
      <c r="K18" s="19" t="n">
        <v>1</v>
      </c>
      <c r="L18" s="17"/>
      <c r="M18" s="17" t="n">
        <v>0</v>
      </c>
      <c r="N18" s="20" t="n">
        <v>26.25</v>
      </c>
    </row>
    <row r="19" customFormat="false" ht="15" hidden="false" customHeight="false" outlineLevel="0" collapsed="false">
      <c r="A19" s="4" t="s">
        <v>120</v>
      </c>
      <c r="B19" s="4" t="s">
        <v>53</v>
      </c>
      <c r="C19" s="7" t="n">
        <v>1</v>
      </c>
      <c r="D19" s="7" t="n">
        <v>2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10" t="n">
        <v>0</v>
      </c>
      <c r="K19" s="14" t="n">
        <v>0</v>
      </c>
      <c r="L19" s="7"/>
      <c r="M19" s="7"/>
      <c r="N19" s="15"/>
    </row>
    <row r="20" customFormat="false" ht="15" hidden="false" customHeight="false" outlineLevel="0" collapsed="false">
      <c r="A20" s="16" t="s">
        <v>121</v>
      </c>
      <c r="B20" s="16" t="s">
        <v>53</v>
      </c>
      <c r="C20" s="17" t="n">
        <v>1</v>
      </c>
      <c r="D20" s="17" t="n">
        <v>1</v>
      </c>
      <c r="E20" s="17" t="n">
        <v>0</v>
      </c>
      <c r="F20" s="17" t="n">
        <v>0</v>
      </c>
      <c r="G20" s="17" t="n">
        <v>0</v>
      </c>
      <c r="H20" s="17" t="n">
        <v>0</v>
      </c>
      <c r="I20" s="17" t="n">
        <v>0</v>
      </c>
      <c r="J20" s="18" t="n">
        <v>0</v>
      </c>
      <c r="K20" s="19" t="n">
        <v>0</v>
      </c>
      <c r="L20" s="17"/>
      <c r="M20" s="17"/>
      <c r="N20" s="20"/>
    </row>
    <row r="21" customFormat="false" ht="15" hidden="false" customHeight="false" outlineLevel="0" collapsed="false">
      <c r="A21" s="4" t="s">
        <v>122</v>
      </c>
      <c r="B21" s="4" t="s">
        <v>53</v>
      </c>
      <c r="C21" s="7" t="n">
        <v>1</v>
      </c>
      <c r="D21" s="7" t="n">
        <v>1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10" t="n">
        <v>0</v>
      </c>
      <c r="K21" s="14"/>
      <c r="L21" s="7"/>
      <c r="M21" s="7"/>
      <c r="N21" s="15"/>
    </row>
    <row r="22" customFormat="false" ht="15" hidden="false" customHeight="false" outlineLevel="0" collapsed="false">
      <c r="A22" s="16" t="s">
        <v>123</v>
      </c>
      <c r="B22" s="16" t="s">
        <v>53</v>
      </c>
      <c r="C22" s="17" t="n">
        <v>1</v>
      </c>
      <c r="D22" s="17" t="n">
        <v>1</v>
      </c>
      <c r="E22" s="17" t="n">
        <v>0</v>
      </c>
      <c r="F22" s="17" t="n">
        <v>0</v>
      </c>
      <c r="G22" s="17" t="n">
        <v>0</v>
      </c>
      <c r="H22" s="17" t="n">
        <v>0</v>
      </c>
      <c r="I22" s="17" t="n">
        <v>0</v>
      </c>
      <c r="J22" s="18" t="n">
        <v>0</v>
      </c>
      <c r="K22" s="19"/>
      <c r="L22" s="17"/>
      <c r="M22" s="17"/>
      <c r="N22" s="20"/>
    </row>
    <row r="23" customFormat="false" ht="15" hidden="false" customHeight="false" outlineLevel="0" collapsed="false">
      <c r="A23" s="4" t="s">
        <v>124</v>
      </c>
      <c r="B23" s="4" t="s">
        <v>53</v>
      </c>
      <c r="C23" s="7" t="n">
        <v>1</v>
      </c>
      <c r="D23" s="7" t="n">
        <v>1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10" t="n">
        <v>0</v>
      </c>
      <c r="K23" s="14" t="n">
        <v>0</v>
      </c>
      <c r="L23" s="7"/>
      <c r="M23" s="7"/>
      <c r="N23" s="15"/>
    </row>
    <row r="24" customFormat="false" ht="15" hidden="false" customHeight="false" outlineLevel="0" collapsed="false">
      <c r="A24" s="16" t="s">
        <v>125</v>
      </c>
      <c r="B24" s="16" t="s">
        <v>53</v>
      </c>
      <c r="C24" s="17" t="n">
        <v>1</v>
      </c>
      <c r="D24" s="17"/>
      <c r="E24" s="17"/>
      <c r="F24" s="17"/>
      <c r="G24" s="17"/>
      <c r="H24" s="17"/>
      <c r="I24" s="17"/>
      <c r="J24" s="18"/>
      <c r="K24" s="19"/>
      <c r="L24" s="17"/>
      <c r="M24" s="17"/>
      <c r="N24" s="20"/>
    </row>
    <row r="25" customFormat="false" ht="15" hidden="false" customHeight="false" outlineLevel="0" collapsed="false">
      <c r="A25" s="21" t="s">
        <v>136</v>
      </c>
      <c r="B25" s="22"/>
      <c r="C25" s="22"/>
      <c r="D25" s="23" t="n">
        <f aca="false">SUM(D5:D24)</f>
        <v>28</v>
      </c>
      <c r="E25" s="23" t="n">
        <f aca="false">SUM(E5:E24)</f>
        <v>10</v>
      </c>
      <c r="F25" s="23" t="n">
        <f aca="false">SUM(F5:F24)</f>
        <v>1</v>
      </c>
      <c r="G25" s="23" t="n">
        <f aca="false">SUM(G5:G24)</f>
        <v>0</v>
      </c>
      <c r="H25" s="23" t="n">
        <f aca="false">SUM(H5:H24)</f>
        <v>0</v>
      </c>
      <c r="I25" s="23" t="n">
        <f aca="false">SUM(I5:I24)</f>
        <v>4</v>
      </c>
      <c r="J25" s="22"/>
      <c r="K25" s="24" t="n">
        <f aca="false">SUM(K5:K24)</f>
        <v>3</v>
      </c>
      <c r="L25" s="23" t="n">
        <f aca="false">SUM(L5:L24)</f>
        <v>0</v>
      </c>
      <c r="M25" s="23" t="n">
        <f aca="false">SUM(M5:M24)</f>
        <v>1</v>
      </c>
      <c r="N25" s="22"/>
    </row>
  </sheetData>
  <autoFilter ref="A4:N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9" min="3" style="0" width="6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8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5" t="s">
        <v>72</v>
      </c>
    </row>
    <row r="4" customFormat="false" ht="19.5" hidden="false" customHeight="true" outlineLevel="0" collapsed="false">
      <c r="A4" s="12" t="s">
        <v>73</v>
      </c>
      <c r="B4" s="12" t="s">
        <v>41</v>
      </c>
      <c r="C4" s="13" t="s">
        <v>14</v>
      </c>
      <c r="D4" s="13" t="s">
        <v>16</v>
      </c>
      <c r="E4" s="13" t="s">
        <v>18</v>
      </c>
      <c r="F4" s="13" t="s">
        <v>20</v>
      </c>
      <c r="G4" s="13" t="s">
        <v>22</v>
      </c>
      <c r="H4" s="13" t="s">
        <v>24</v>
      </c>
      <c r="I4" s="13" t="s">
        <v>26</v>
      </c>
      <c r="J4" s="13" t="s">
        <v>28</v>
      </c>
      <c r="K4" s="13" t="s">
        <v>30</v>
      </c>
      <c r="L4" s="13" t="s">
        <v>32</v>
      </c>
      <c r="M4" s="13" t="s">
        <v>34</v>
      </c>
      <c r="N4" s="13" t="s">
        <v>36</v>
      </c>
    </row>
    <row r="5" customFormat="false" ht="15" hidden="false" customHeight="false" outlineLevel="0" collapsed="false">
      <c r="A5" s="4" t="s">
        <v>126</v>
      </c>
      <c r="B5" s="4" t="s">
        <v>55</v>
      </c>
      <c r="C5" s="7" t="n">
        <v>1</v>
      </c>
      <c r="D5" s="7" t="n">
        <v>1</v>
      </c>
      <c r="E5" s="7" t="n">
        <v>1</v>
      </c>
      <c r="F5" s="7" t="n">
        <v>0</v>
      </c>
      <c r="G5" s="7" t="n">
        <v>0</v>
      </c>
      <c r="H5" s="7" t="n">
        <v>0</v>
      </c>
      <c r="I5" s="7" t="n">
        <v>1</v>
      </c>
      <c r="J5" s="10" t="n">
        <v>1</v>
      </c>
      <c r="K5" s="14" t="n">
        <v>0</v>
      </c>
      <c r="L5" s="7"/>
      <c r="M5" s="7"/>
      <c r="N5" s="15"/>
    </row>
    <row r="6" customFormat="false" ht="15" hidden="false" customHeight="false" outlineLevel="0" collapsed="false">
      <c r="A6" s="16" t="s">
        <v>127</v>
      </c>
      <c r="B6" s="16" t="s">
        <v>55</v>
      </c>
      <c r="C6" s="17" t="n">
        <v>1</v>
      </c>
      <c r="D6" s="17" t="n">
        <v>1</v>
      </c>
      <c r="E6" s="17" t="n">
        <v>1</v>
      </c>
      <c r="F6" s="17" t="n">
        <v>0</v>
      </c>
      <c r="G6" s="17" t="n">
        <v>0</v>
      </c>
      <c r="H6" s="17" t="n">
        <v>0</v>
      </c>
      <c r="I6" s="17" t="n">
        <v>0</v>
      </c>
      <c r="J6" s="18" t="n">
        <v>1</v>
      </c>
      <c r="K6" s="19" t="n">
        <v>0</v>
      </c>
      <c r="L6" s="17"/>
      <c r="M6" s="17"/>
      <c r="N6" s="20"/>
    </row>
    <row r="7" customFormat="false" ht="15" hidden="false" customHeight="false" outlineLevel="0" collapsed="false">
      <c r="A7" s="4" t="s">
        <v>128</v>
      </c>
      <c r="B7" s="4" t="s">
        <v>55</v>
      </c>
      <c r="C7" s="7" t="n">
        <v>1</v>
      </c>
      <c r="D7" s="7" t="n">
        <v>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0</v>
      </c>
      <c r="J7" s="10" t="n">
        <v>0.5</v>
      </c>
      <c r="K7" s="14" t="n">
        <v>0</v>
      </c>
      <c r="L7" s="7"/>
      <c r="M7" s="7"/>
      <c r="N7" s="15"/>
    </row>
    <row r="8" customFormat="false" ht="15" hidden="false" customHeight="false" outlineLevel="0" collapsed="false">
      <c r="A8" s="16" t="s">
        <v>129</v>
      </c>
      <c r="B8" s="16" t="s">
        <v>55</v>
      </c>
      <c r="C8" s="17" t="n">
        <v>1</v>
      </c>
      <c r="D8" s="17" t="n">
        <v>2</v>
      </c>
      <c r="E8" s="17" t="n">
        <v>1</v>
      </c>
      <c r="F8" s="17" t="n">
        <v>0</v>
      </c>
      <c r="G8" s="17" t="n">
        <v>0</v>
      </c>
      <c r="H8" s="17" t="n">
        <v>0</v>
      </c>
      <c r="I8" s="17" t="n">
        <v>0</v>
      </c>
      <c r="J8" s="18" t="n">
        <v>0.5</v>
      </c>
      <c r="K8" s="19" t="n">
        <v>0</v>
      </c>
      <c r="L8" s="17"/>
      <c r="M8" s="17"/>
      <c r="N8" s="20"/>
    </row>
    <row r="9" customFormat="false" ht="15" hidden="false" customHeight="false" outlineLevel="0" collapsed="false">
      <c r="A9" s="4" t="s">
        <v>130</v>
      </c>
      <c r="B9" s="4" t="s">
        <v>55</v>
      </c>
      <c r="C9" s="7" t="n">
        <v>1</v>
      </c>
      <c r="D9" s="7" t="n">
        <v>1</v>
      </c>
      <c r="E9" s="7" t="n">
        <v>1</v>
      </c>
      <c r="F9" s="7" t="n">
        <v>0</v>
      </c>
      <c r="G9" s="7" t="n">
        <v>0</v>
      </c>
      <c r="H9" s="7" t="n">
        <v>0</v>
      </c>
      <c r="I9" s="7" t="n">
        <v>0</v>
      </c>
      <c r="J9" s="10" t="n">
        <v>1</v>
      </c>
      <c r="K9" s="14" t="n">
        <v>2</v>
      </c>
      <c r="L9" s="7" t="n">
        <v>0</v>
      </c>
      <c r="M9" s="7" t="n">
        <v>2</v>
      </c>
      <c r="N9" s="15" t="n">
        <v>28.88</v>
      </c>
    </row>
    <row r="10" customFormat="false" ht="15" hidden="false" customHeight="false" outlineLevel="0" collapsed="false">
      <c r="A10" s="16" t="s">
        <v>131</v>
      </c>
      <c r="B10" s="16" t="s">
        <v>55</v>
      </c>
      <c r="C10" s="17" t="n">
        <v>1</v>
      </c>
      <c r="D10" s="17" t="n">
        <v>1</v>
      </c>
      <c r="E10" s="17" t="n">
        <v>0</v>
      </c>
      <c r="F10" s="17" t="n">
        <v>0</v>
      </c>
      <c r="G10" s="17" t="n">
        <v>0</v>
      </c>
      <c r="H10" s="17" t="n">
        <v>0</v>
      </c>
      <c r="I10" s="17" t="n">
        <v>0</v>
      </c>
      <c r="J10" s="18" t="n">
        <v>0</v>
      </c>
      <c r="K10" s="19" t="n">
        <v>0</v>
      </c>
      <c r="L10" s="17"/>
      <c r="M10" s="17"/>
      <c r="N10" s="20"/>
    </row>
    <row r="11" customFormat="false" ht="15" hidden="false" customHeight="false" outlineLevel="0" collapsed="false">
      <c r="A11" s="4" t="s">
        <v>132</v>
      </c>
      <c r="B11" s="4" t="s">
        <v>55</v>
      </c>
      <c r="C11" s="7" t="n">
        <v>1</v>
      </c>
      <c r="D11" s="7" t="n">
        <v>2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10" t="n">
        <v>0</v>
      </c>
      <c r="K11" s="14" t="n">
        <v>0</v>
      </c>
      <c r="L11" s="7"/>
      <c r="M11" s="7"/>
      <c r="N11" s="15"/>
    </row>
    <row r="12" customFormat="false" ht="15" hidden="false" customHeight="false" outlineLevel="0" collapsed="false">
      <c r="A12" s="16" t="s">
        <v>133</v>
      </c>
      <c r="B12" s="16" t="s">
        <v>55</v>
      </c>
      <c r="C12" s="17" t="n">
        <v>1</v>
      </c>
      <c r="D12" s="17" t="n">
        <v>1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8" t="n">
        <v>0</v>
      </c>
      <c r="K12" s="19" t="n">
        <v>0</v>
      </c>
      <c r="L12" s="17"/>
      <c r="M12" s="17"/>
      <c r="N12" s="20"/>
    </row>
    <row r="13" customFormat="false" ht="15" hidden="false" customHeight="false" outlineLevel="0" collapsed="false">
      <c r="A13" s="4" t="s">
        <v>134</v>
      </c>
      <c r="B13" s="4" t="s">
        <v>55</v>
      </c>
      <c r="C13" s="7" t="n">
        <v>1</v>
      </c>
      <c r="D13" s="7" t="n">
        <v>1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10" t="n">
        <v>0</v>
      </c>
      <c r="K13" s="14" t="n">
        <v>0</v>
      </c>
      <c r="L13" s="7"/>
      <c r="M13" s="7"/>
      <c r="N13" s="15"/>
    </row>
    <row r="14" customFormat="false" ht="15" hidden="false" customHeight="false" outlineLevel="0" collapsed="false">
      <c r="A14" s="16" t="s">
        <v>135</v>
      </c>
      <c r="B14" s="16" t="s">
        <v>55</v>
      </c>
      <c r="C14" s="17" t="n">
        <v>1</v>
      </c>
      <c r="D14" s="17" t="n">
        <v>2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8" t="n">
        <v>0</v>
      </c>
      <c r="K14" s="19" t="n">
        <v>0</v>
      </c>
      <c r="L14" s="17"/>
      <c r="M14" s="17"/>
      <c r="N14" s="20"/>
    </row>
    <row r="15" customFormat="false" ht="15" hidden="false" customHeight="false" outlineLevel="0" collapsed="false">
      <c r="A15" s="21" t="s">
        <v>136</v>
      </c>
      <c r="B15" s="22"/>
      <c r="C15" s="22"/>
      <c r="D15" s="23" t="n">
        <f aca="false">SUM(D5:D14)</f>
        <v>14</v>
      </c>
      <c r="E15" s="23" t="n">
        <f aca="false">SUM(E5:E14)</f>
        <v>5</v>
      </c>
      <c r="F15" s="23" t="n">
        <f aca="false">SUM(F5:F14)</f>
        <v>1</v>
      </c>
      <c r="G15" s="23" t="n">
        <f aca="false">SUM(G5:G14)</f>
        <v>0</v>
      </c>
      <c r="H15" s="23" t="n">
        <f aca="false">SUM(H5:H14)</f>
        <v>0</v>
      </c>
      <c r="I15" s="23" t="n">
        <f aca="false">SUM(I5:I14)</f>
        <v>1</v>
      </c>
      <c r="J15" s="22"/>
      <c r="K15" s="24" t="n">
        <f aca="false">SUM(K5:K14)</f>
        <v>2</v>
      </c>
      <c r="L15" s="23" t="n">
        <f aca="false">SUM(L5:L14)</f>
        <v>0</v>
      </c>
      <c r="M15" s="23" t="n">
        <f aca="false">SUM(M5:M14)</f>
        <v>2</v>
      </c>
      <c r="N15" s="22"/>
    </row>
  </sheetData>
  <autoFilter ref="A4:N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9" min="3" style="0" width="6"/>
    <col collapsed="false" customWidth="true" hidden="false" outlineLevel="0" max="10" min="10" style="0" width="8"/>
    <col collapsed="false" customWidth="true" hidden="false" outlineLevel="0" max="13" min="11" style="0" width="6"/>
    <col collapsed="false" customWidth="true" hidden="false" outlineLevel="0" max="14" min="14" style="0" width="8"/>
  </cols>
  <sheetData>
    <row r="1" customFormat="false" ht="19.7" hidden="false" customHeight="false" outlineLevel="0" collapsed="false">
      <c r="A1" s="1" t="s">
        <v>57</v>
      </c>
    </row>
    <row r="2" customFormat="false" ht="15" hidden="false" customHeight="false" outlineLevel="0" collapsed="false">
      <c r="A2" s="5" t="s">
        <v>72</v>
      </c>
    </row>
    <row r="4" customFormat="false" ht="19.5" hidden="false" customHeight="true" outlineLevel="0" collapsed="false">
      <c r="A4" s="12" t="s">
        <v>73</v>
      </c>
      <c r="B4" s="12" t="s">
        <v>41</v>
      </c>
      <c r="C4" s="13" t="s">
        <v>14</v>
      </c>
      <c r="D4" s="13" t="s">
        <v>16</v>
      </c>
      <c r="E4" s="13" t="s">
        <v>18</v>
      </c>
      <c r="F4" s="13" t="s">
        <v>20</v>
      </c>
      <c r="G4" s="13" t="s">
        <v>22</v>
      </c>
      <c r="H4" s="13" t="s">
        <v>24</v>
      </c>
      <c r="I4" s="13" t="s">
        <v>26</v>
      </c>
      <c r="J4" s="13" t="s">
        <v>28</v>
      </c>
      <c r="K4" s="13" t="s">
        <v>30</v>
      </c>
      <c r="L4" s="13" t="s">
        <v>32</v>
      </c>
      <c r="M4" s="13" t="s">
        <v>34</v>
      </c>
      <c r="N4" s="13" t="s">
        <v>36</v>
      </c>
    </row>
    <row r="5" customFormat="false" ht="15" hidden="false" customHeight="false" outlineLevel="0" collapsed="false">
      <c r="A5" s="5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2026-09-11T13:47:16Z</dcterms:created>
  <dc:creator>openpyxl</dc:creator>
  <dc:description/>
  <dc:language>en-US</dc:language>
  <cp:lastModifiedBy/>
  <dcterms:modified xsi:type="dcterms:W3CDTF">2026-09-11T13:47:16Z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