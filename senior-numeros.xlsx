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" sheetId="2" state="visible" r:id="rId2"/>
    <sheet xmlns:r="http://schemas.openxmlformats.org/officeDocument/2006/relationships" name="Resultados" sheetId="3" state="visible" r:id="rId3"/>
    <sheet xmlns:r="http://schemas.openxmlformats.org/officeDocument/2006/relationships" name="Team Trampa" sheetId="4" state="visible" r:id="rId4"/>
    <sheet xmlns:r="http://schemas.openxmlformats.org/officeDocument/2006/relationships" name="White Lions" sheetId="5" state="visible" r:id="rId5"/>
    <sheet xmlns:r="http://schemas.openxmlformats.org/officeDocument/2006/relationships" name="Fantasía" sheetId="6" state="visible" r:id="rId6"/>
    <sheet xmlns:r="http://schemas.openxmlformats.org/officeDocument/2006/relationships" name="Colegio Javier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+0;\-0;0"/>
    <numFmt numFmtId="165" formatCode="0.000"/>
    <numFmt numFmtId="166" formatCode="0.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DDEFEC"/>
        <bgColor rgb="FFCCFFFF"/>
      </patternFill>
    </fill>
    <fill>
      <patternFill patternType="solid">
        <fgColor rgb="FF14140E"/>
        <bgColor rgb="FF000000"/>
      </patternFill>
    </fill>
  </fills>
  <borders count="2">
    <border>
      <left/>
      <right/>
      <top/>
      <bottom/>
      <diagonal/>
    </border>
    <border>
      <left/>
      <right/>
      <top style="medium">
        <color rgb="FF14140E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4140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100" customWidth="1" style="23" min="2" max="2"/>
  </cols>
  <sheetData>
    <row r="1" ht="19.5" customHeight="1" s="24">
      <c r="A1" s="25" t="inlineStr">
        <is>
          <t>Números del Meracho Senior · La Mella League</t>
        </is>
      </c>
    </row>
    <row r="3" ht="15" customHeight="1" s="24">
      <c r="A3" s="26" t="inlineStr">
        <is>
          <t>Liga</t>
        </is>
      </c>
      <c r="B3" s="27" t="inlineStr">
        <is>
          <t>Meracho Senior · Temporada 21 · miércoles en el Complejo Deportivo del MEF, Albrook</t>
        </is>
      </c>
    </row>
    <row r="4" ht="15" customHeight="1" s="24">
      <c r="A4" s="26" t="inlineStr">
        <is>
          <t>Corte</t>
        </is>
      </c>
      <c r="B4" s="27" t="inlineStr">
        <is>
          <t>Después de la jornada 2 (miércoles 23 de septiembre de 2026)</t>
        </is>
      </c>
    </row>
    <row r="5" ht="15" customHeight="1" s="24">
      <c r="A5" s="26" t="inlineStr">
        <is>
          <t>Desarrollo</t>
        </is>
      </c>
      <c r="B5" s="27" t="inlineStr">
        <is>
          <t>Desarrollo único para La Mella League y Liga Deportiva de Albrook</t>
        </is>
      </c>
    </row>
    <row r="6" ht="23.25" customHeight="1" s="24">
      <c r="A6" s="26" t="n"/>
      <c r="B6" s="27" t="n"/>
    </row>
    <row r="7" ht="23.25" customHeight="1" s="24">
      <c r="A7" s="26" t="inlineStr">
        <is>
          <t>Abreviaturas</t>
        </is>
      </c>
      <c r="B7" s="27" t="n"/>
    </row>
    <row r="8" ht="23.25" customHeight="1" s="24">
      <c r="A8" s="26" t="inlineStr">
        <is>
          <t>JJ</t>
        </is>
      </c>
      <c r="B8" s="28" t="inlineStr">
        <is>
          <t>Juegos jugados</t>
        </is>
      </c>
    </row>
    <row r="9" ht="15" customHeight="1" s="24">
      <c r="A9" s="26" t="inlineStr">
        <is>
          <t>AP</t>
        </is>
      </c>
      <c r="B9" s="28" t="inlineStr">
        <is>
          <t>Apariciones al plato</t>
        </is>
      </c>
    </row>
    <row r="10" ht="15" customHeight="1" s="24">
      <c r="A10" s="26" t="inlineStr">
        <is>
          <t>H</t>
        </is>
      </c>
      <c r="B10" s="28" t="inlineStr">
        <is>
          <t>Hits</t>
        </is>
      </c>
    </row>
    <row r="11" ht="15" customHeight="1" s="24">
      <c r="A11" s="26" t="inlineStr">
        <is>
          <t>2B</t>
        </is>
      </c>
      <c r="B11" s="28" t="inlineStr">
        <is>
          <t>Dobles</t>
        </is>
      </c>
    </row>
    <row r="12" ht="15" customHeight="1" s="24">
      <c r="A12" s="26" t="inlineStr">
        <is>
          <t>3B</t>
        </is>
      </c>
      <c r="B12" s="28" t="inlineStr">
        <is>
          <t>Triples</t>
        </is>
      </c>
    </row>
    <row r="13" ht="15" customHeight="1" s="24">
      <c r="A13" s="26" t="inlineStr">
        <is>
          <t>HR</t>
        </is>
      </c>
      <c r="B13" s="28" t="inlineStr">
        <is>
          <t>Jonrones</t>
        </is>
      </c>
    </row>
    <row r="14" ht="15" customHeight="1" s="24">
      <c r="A14" s="26" t="inlineStr">
        <is>
          <t>CI</t>
        </is>
      </c>
      <c r="B14" s="28" t="inlineStr">
        <is>
          <t>Carreras impulsadas</t>
        </is>
      </c>
    </row>
    <row r="15" ht="15" customHeight="1" s="24">
      <c r="A15" s="26" t="inlineStr">
        <is>
          <t>PRO</t>
        </is>
      </c>
      <c r="B15" s="28" t="inlineStr">
        <is>
          <t>Promedio de bateo</t>
        </is>
      </c>
    </row>
    <row r="16" ht="15" customHeight="1" s="24">
      <c r="A16" s="26" t="inlineStr">
        <is>
          <t>EL</t>
        </is>
      </c>
      <c r="B16" s="28" t="inlineStr">
        <is>
          <t>Entradas lanzadas</t>
        </is>
      </c>
    </row>
    <row r="17" ht="15" customHeight="1" s="24">
      <c r="A17" s="26" t="inlineStr">
        <is>
          <t>JG</t>
        </is>
      </c>
      <c r="B17" s="28" t="inlineStr">
        <is>
          <t>Juegos ganados</t>
        </is>
      </c>
    </row>
    <row r="18" ht="15" customHeight="1" s="24">
      <c r="A18" s="26" t="inlineStr">
        <is>
          <t>K</t>
        </is>
      </c>
      <c r="B18" s="28" t="inlineStr">
        <is>
          <t>Ponches</t>
        </is>
      </c>
    </row>
    <row r="19" ht="15" customHeight="1" s="24">
      <c r="A19" s="26" t="inlineStr">
        <is>
          <t>EFE</t>
        </is>
      </c>
      <c r="B19" s="28" t="inlineStr">
        <is>
          <t>Efectividad sobre 7 entradas</t>
        </is>
      </c>
    </row>
    <row r="20" ht="15" customHeight="1" s="24">
      <c r="A20" s="26" t="n"/>
      <c r="B20" s="28" t="n"/>
    </row>
    <row r="21" ht="15" customHeight="1" s="24">
      <c r="A21" s="26" t="inlineStr">
        <is>
          <t>Página</t>
        </is>
      </c>
      <c r="B21" s="28" t="inlineStr">
        <is>
          <t>lamellaleague.github.io · calendarios, tablas y números de todas las ligas</t>
        </is>
      </c>
    </row>
    <row r="22" ht="15" customHeight="1" s="24">
      <c r="A22" s="29" t="n"/>
      <c r="B22" s="30" t="n"/>
    </row>
    <row r="23" ht="15" customHeight="1" s="24">
      <c r="A23" s="29" t="n"/>
      <c r="B23" s="30" t="n"/>
    </row>
    <row r="24" ht="15" customHeight="1" s="24">
      <c r="A24" s="29" t="n"/>
      <c r="B24" s="30" t="n"/>
    </row>
    <row r="25" ht="23.25" customHeight="1" s="24">
      <c r="A25" s="29" t="n"/>
      <c r="B25" s="30" t="n"/>
    </row>
    <row r="26" ht="15" customHeight="1" s="24">
      <c r="A26" s="29" t="n"/>
      <c r="B26" s="30" t="n"/>
    </row>
    <row r="27" ht="15" customHeight="1" s="24">
      <c r="A27" s="29" t="n"/>
      <c r="B27" s="30" t="n"/>
    </row>
    <row r="28" ht="23.25" customHeight="1" s="24">
      <c r="A28" s="29" t="n"/>
      <c r="B28" s="30" t="n"/>
    </row>
    <row r="29" ht="15" customHeight="1" s="2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8" customWidth="1" style="23" min="2" max="2"/>
    <col width="6" customWidth="1" style="23" min="3" max="7"/>
    <col width="7" customWidth="1" style="23" min="8" max="8"/>
    <col width="8" customWidth="1" style="23" min="9" max="9"/>
  </cols>
  <sheetData>
    <row r="1" ht="19.5" customHeight="1" s="24">
      <c r="A1" s="25" t="inlineStr">
        <is>
          <t>Tabla de posiciones</t>
        </is>
      </c>
    </row>
    <row r="2" ht="15" customHeight="1" s="24">
      <c r="A2" s="31" t="inlineStr">
        <is>
          <t>Se calcula sola desde la hoja «Resultados». El orden sigue el reglamento de desempates de La Mella y se revisa cada semana.</t>
        </is>
      </c>
    </row>
    <row r="4" ht="15" customHeight="1" s="24">
      <c r="A4" s="32" t="inlineStr">
        <is>
          <t>#</t>
        </is>
      </c>
      <c r="B4" s="32" t="inlineStr">
        <is>
          <t>Equipo</t>
        </is>
      </c>
      <c r="C4" s="32" t="inlineStr">
        <is>
          <t>JJ</t>
        </is>
      </c>
      <c r="D4" s="32" t="inlineStr">
        <is>
          <t>G</t>
        </is>
      </c>
      <c r="E4" s="32" t="inlineStr">
        <is>
          <t>P</t>
        </is>
      </c>
      <c r="F4" s="32" t="inlineStr">
        <is>
          <t>CA</t>
        </is>
      </c>
      <c r="G4" s="32" t="inlineStr">
        <is>
          <t>CP</t>
        </is>
      </c>
      <c r="H4" s="32" t="inlineStr">
        <is>
          <t>DIF</t>
        </is>
      </c>
      <c r="I4" s="32" t="inlineStr">
        <is>
          <t>PCT</t>
        </is>
      </c>
    </row>
    <row r="5" ht="15" customHeight="1" s="24">
      <c r="A5" s="33" t="inlineStr">
        <is>
          <t>1</t>
        </is>
      </c>
      <c r="B5" s="34" t="inlineStr">
        <is>
          <t>Team Trampa</t>
        </is>
      </c>
      <c r="C5" s="33">
        <f>COUNTIF(Resultados!$D$5:$D$200,$B5)+COUNTIF(Resultados!$F$5:$F$200,$B5)</f>
        <v/>
      </c>
      <c r="D5" s="33">
        <f>SUMPRODUCT((Resultados!$D$5:$D$200=$B5)*(Resultados!$E$5:$E$200&gt;Resultados!$G$5:$G$200))+SUMPRODUCT((Resultados!$F$5:$F$200=$B5)*(Resultados!$G$5:$G$200&gt;Resultados!$E$5:$E$200))</f>
        <v/>
      </c>
      <c r="E5" s="33">
        <f>SUMPRODUCT((Resultados!$D$5:$D$200=$B5)*(Resultados!$E$5:$E$200&lt;Resultados!$G$5:$G$200))+SUMPRODUCT((Resultados!$F$5:$F$200=$B5)*(Resultados!$G$5:$G$200&lt;Resultados!$E$5:$E$200))</f>
        <v/>
      </c>
      <c r="F5" s="33">
        <f>SUMIF(Resultados!$D$5:$D$200,$B5,Resultados!$E$5:$E$200)+SUMIF(Resultados!$F$5:$F$200,$B5,Resultados!$G$5:$G$200)</f>
        <v/>
      </c>
      <c r="G5" s="33">
        <f>SUMIF(Resultados!$D$5:$D$200,$B5,Resultados!$G$5:$G$200)+SUMIF(Resultados!$F$5:$F$200,$B5,Resultados!$E$5:$E$200)</f>
        <v/>
      </c>
      <c r="H5" s="35">
        <f>F5-G5</f>
        <v/>
      </c>
      <c r="I5" s="36">
        <f>IF(C5=0,"",D5/C5)</f>
        <v/>
      </c>
    </row>
    <row r="6" ht="15" customHeight="1" s="24">
      <c r="A6" s="33" t="inlineStr">
        <is>
          <t>2</t>
        </is>
      </c>
      <c r="B6" s="34" t="inlineStr">
        <is>
          <t>Colegio Javier</t>
        </is>
      </c>
      <c r="C6" s="33">
        <f>COUNTIF(Resultados!$D$5:$D$200,$B6)+COUNTIF(Resultados!$F$5:$F$200,$B6)</f>
        <v/>
      </c>
      <c r="D6" s="33">
        <f>SUMPRODUCT((Resultados!$D$5:$D$200=$B6)*(Resultados!$E$5:$E$200&gt;Resultados!$G$5:$G$200))+SUMPRODUCT((Resultados!$F$5:$F$200=$B6)*(Resultados!$G$5:$G$200&gt;Resultados!$E$5:$E$200))</f>
        <v/>
      </c>
      <c r="E6" s="33">
        <f>SUMPRODUCT((Resultados!$D$5:$D$200=$B6)*(Resultados!$E$5:$E$200&lt;Resultados!$G$5:$G$200))+SUMPRODUCT((Resultados!$F$5:$F$200=$B6)*(Resultados!$G$5:$G$200&lt;Resultados!$E$5:$E$200))</f>
        <v/>
      </c>
      <c r="F6" s="33">
        <f>SUMIF(Resultados!$D$5:$D$200,$B6,Resultados!$E$5:$E$200)+SUMIF(Resultados!$F$5:$F$200,$B6,Resultados!$G$5:$G$200)</f>
        <v/>
      </c>
      <c r="G6" s="33">
        <f>SUMIF(Resultados!$D$5:$D$200,$B6,Resultados!$G$5:$G$200)+SUMIF(Resultados!$F$5:$F$200,$B6,Resultados!$E$5:$E$200)</f>
        <v/>
      </c>
      <c r="H6" s="35">
        <f>F6-G6</f>
        <v/>
      </c>
      <c r="I6" s="36">
        <f>IF(C6=0,"",D6/C6)</f>
        <v/>
      </c>
    </row>
    <row r="7" ht="15" customHeight="1" s="24">
      <c r="A7" s="33" t="inlineStr">
        <is>
          <t>3</t>
        </is>
      </c>
      <c r="B7" s="34" t="inlineStr">
        <is>
          <t>White Lions</t>
        </is>
      </c>
      <c r="C7" s="33">
        <f>COUNTIF(Resultados!$D$5:$D$200,$B7)+COUNTIF(Resultados!$F$5:$F$200,$B7)</f>
        <v/>
      </c>
      <c r="D7" s="33">
        <f>SUMPRODUCT((Resultados!$D$5:$D$200=$B7)*(Resultados!$E$5:$E$200&gt;Resultados!$G$5:$G$200))+SUMPRODUCT((Resultados!$F$5:$F$200=$B7)*(Resultados!$G$5:$G$200&gt;Resultados!$E$5:$E$200))</f>
        <v/>
      </c>
      <c r="E7" s="33">
        <f>SUMPRODUCT((Resultados!$D$5:$D$200=$B7)*(Resultados!$E$5:$E$200&lt;Resultados!$G$5:$G$200))+SUMPRODUCT((Resultados!$F$5:$F$200=$B7)*(Resultados!$G$5:$G$200&lt;Resultados!$E$5:$E$200))</f>
        <v/>
      </c>
      <c r="F7" s="33">
        <f>SUMIF(Resultados!$D$5:$D$200,$B7,Resultados!$E$5:$E$200)+SUMIF(Resultados!$F$5:$F$200,$B7,Resultados!$G$5:$G$200)</f>
        <v/>
      </c>
      <c r="G7" s="33">
        <f>SUMIF(Resultados!$D$5:$D$200,$B7,Resultados!$G$5:$G$200)+SUMIF(Resultados!$F$5:$F$200,$B7,Resultados!$E$5:$E$200)</f>
        <v/>
      </c>
      <c r="H7" s="35">
        <f>F7-G7</f>
        <v/>
      </c>
      <c r="I7" s="36">
        <f>IF(C7=0,"",D7/C7)</f>
        <v/>
      </c>
    </row>
    <row r="8" ht="15" customHeight="1" s="24">
      <c r="A8" s="33" t="inlineStr">
        <is>
          <t>4</t>
        </is>
      </c>
      <c r="B8" s="34" t="inlineStr">
        <is>
          <t>Fantasía</t>
        </is>
      </c>
      <c r="C8" s="33">
        <f>COUNTIF(Resultados!$D$5:$D$200,$B8)+COUNTIF(Resultados!$F$5:$F$200,$B8)</f>
        <v/>
      </c>
      <c r="D8" s="33">
        <f>SUMPRODUCT((Resultados!$D$5:$D$200=$B8)*(Resultados!$E$5:$E$200&gt;Resultados!$G$5:$G$200))+SUMPRODUCT((Resultados!$F$5:$F$200=$B8)*(Resultados!$G$5:$G$200&gt;Resultados!$E$5:$E$200))</f>
        <v/>
      </c>
      <c r="E8" s="33">
        <f>SUMPRODUCT((Resultados!$D$5:$D$200=$B8)*(Resultados!$E$5:$E$200&lt;Resultados!$G$5:$G$200))+SUMPRODUCT((Resultados!$F$5:$F$200=$B8)*(Resultados!$G$5:$G$200&lt;Resultados!$E$5:$E$200))</f>
        <v/>
      </c>
      <c r="F8" s="33">
        <f>SUMIF(Resultados!$D$5:$D$200,$B8,Resultados!$E$5:$E$200)+SUMIF(Resultados!$F$5:$F$200,$B8,Resultados!$G$5:$G$200)</f>
        <v/>
      </c>
      <c r="G8" s="33">
        <f>SUMIF(Resultados!$D$5:$D$200,$B8,Resultados!$G$5:$G$200)+SUMIF(Resultados!$F$5:$F$200,$B8,Resultados!$E$5:$E$200)</f>
        <v/>
      </c>
      <c r="H8" s="35">
        <f>F8-G8</f>
        <v/>
      </c>
      <c r="I8" s="36">
        <f>IF(C8=0,"",D8/C8)</f>
        <v/>
      </c>
    </row>
    <row r="9" ht="15" customHeight="1" s="24"/>
    <row r="11" ht="15" customHeight="1" s="24">
      <c r="A11" s="31" t="inlineStr">
        <is>
          <t>Desempate tras la jornada 2: Colegio Javier sobre White Lions por diferencia de carreras, −3 contra −5 (no se han enfrentado).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2" customWidth="1" style="23" min="2" max="2"/>
    <col width="9" customWidth="1" style="23" min="3" max="3"/>
    <col width="18" customWidth="1" style="23" min="4" max="4"/>
    <col width="6" customWidth="1" style="23" min="5" max="5"/>
    <col width="18" customWidth="1" style="23" min="6" max="6"/>
    <col width="6" customWidth="1" style="23" min="7" max="7"/>
    <col width="10" customWidth="1" style="23" min="8" max="8"/>
  </cols>
  <sheetData>
    <row r="1" ht="19.5" customHeight="1" s="24">
      <c r="A1" s="25" t="inlineStr">
        <is>
          <t>Resultados</t>
        </is>
      </c>
    </row>
    <row r="2" ht="15" customHeight="1" s="24">
      <c r="A2" s="31" t="inlineStr">
        <is>
          <t>Marcador final de cada juego.</t>
        </is>
      </c>
    </row>
    <row r="4" ht="15" customHeight="1" s="24">
      <c r="A4" s="32" t="inlineStr">
        <is>
          <t>Jornada</t>
        </is>
      </c>
      <c r="B4" s="32" t="inlineStr">
        <is>
          <t>Fecha</t>
        </is>
      </c>
      <c r="C4" s="32" t="inlineStr">
        <is>
          <t>Hora</t>
        </is>
      </c>
      <c r="D4" s="32" t="inlineStr">
        <is>
          <t>Visitante</t>
        </is>
      </c>
      <c r="E4" s="32" t="inlineStr">
        <is>
          <t>C</t>
        </is>
      </c>
      <c r="F4" s="32" t="inlineStr">
        <is>
          <t>Local</t>
        </is>
      </c>
      <c r="G4" s="32" t="inlineStr">
        <is>
          <t>C</t>
        </is>
      </c>
      <c r="H4" s="32" t="inlineStr">
        <is>
          <t>Entradas</t>
        </is>
      </c>
    </row>
    <row r="5" ht="15" customHeight="1" s="24">
      <c r="A5" s="33" t="n">
        <v>1</v>
      </c>
      <c r="B5" s="33" t="inlineStr">
        <is>
          <t>mié 16 sep</t>
        </is>
      </c>
      <c r="C5" s="33" t="inlineStr">
        <is>
          <t>7:30 pm</t>
        </is>
      </c>
      <c r="D5" s="37" t="inlineStr">
        <is>
          <t>Team Trampa</t>
        </is>
      </c>
      <c r="E5" s="33" t="n">
        <v>18</v>
      </c>
      <c r="F5" s="37" t="inlineStr">
        <is>
          <t>Colegio Javier</t>
        </is>
      </c>
      <c r="G5" s="33" t="n">
        <v>11</v>
      </c>
      <c r="H5" s="33" t="n">
        <v>5</v>
      </c>
    </row>
    <row r="6" ht="15" customHeight="1" s="24">
      <c r="A6" s="33" t="n">
        <v>1</v>
      </c>
      <c r="B6" s="33" t="inlineStr">
        <is>
          <t>mié 16 sep</t>
        </is>
      </c>
      <c r="C6" s="33" t="inlineStr">
        <is>
          <t>9:00 pm</t>
        </is>
      </c>
      <c r="D6" s="37" t="inlineStr">
        <is>
          <t>Fantasía</t>
        </is>
      </c>
      <c r="E6" s="33" t="n">
        <v>7</v>
      </c>
      <c r="F6" s="37" t="inlineStr">
        <is>
          <t>White Lions</t>
        </is>
      </c>
      <c r="G6" s="33" t="n">
        <v>8</v>
      </c>
      <c r="H6" s="33" t="n">
        <v>6</v>
      </c>
    </row>
    <row r="7">
      <c r="A7" s="33" t="n">
        <v>2</v>
      </c>
      <c r="B7" s="33" t="inlineStr">
        <is>
          <t>mié 23 sep</t>
        </is>
      </c>
      <c r="C7" s="33" t="inlineStr">
        <is>
          <t>7:30 pm</t>
        </is>
      </c>
      <c r="D7" s="37" t="inlineStr">
        <is>
          <t>Colegio Javier</t>
        </is>
      </c>
      <c r="E7" s="33" t="n">
        <v>13</v>
      </c>
      <c r="F7" s="37" t="inlineStr">
        <is>
          <t>Fantasía</t>
        </is>
      </c>
      <c r="G7" s="33" t="n">
        <v>9</v>
      </c>
      <c r="H7" s="33" t="n">
        <v>5</v>
      </c>
    </row>
    <row r="8">
      <c r="A8" s="33" t="n">
        <v>2</v>
      </c>
      <c r="B8" s="33" t="inlineStr">
        <is>
          <t>mié 23 sep</t>
        </is>
      </c>
      <c r="C8" s="33" t="inlineStr">
        <is>
          <t>9:00 pm</t>
        </is>
      </c>
      <c r="D8" s="37" t="inlineStr">
        <is>
          <t>White Lions</t>
        </is>
      </c>
      <c r="E8" s="33" t="n">
        <v>5</v>
      </c>
      <c r="F8" s="37" t="inlineStr">
        <is>
          <t>Team Trampa</t>
        </is>
      </c>
      <c r="G8" s="33" t="n">
        <v>11</v>
      </c>
      <c r="H8" s="33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Team Trampa</t>
        </is>
      </c>
    </row>
    <row r="2" ht="15" customHeight="1" s="24">
      <c r="A2" s="31" t="inlineStr">
        <is>
          <t>Meracho Senior · Temporada 21 · corte después de la jornada 2 (miércoles 23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Luis Aponte</t>
        </is>
      </c>
      <c r="B5" s="28" t="inlineStr">
        <is>
          <t>Team Trampa</t>
        </is>
      </c>
      <c r="C5" s="33" t="n">
        <v>2</v>
      </c>
      <c r="D5" s="33" t="n">
        <v>7</v>
      </c>
      <c r="E5" s="33" t="n">
        <v>4</v>
      </c>
      <c r="F5" s="33" t="n">
        <v>4</v>
      </c>
      <c r="G5" s="33" t="n">
        <v>0</v>
      </c>
      <c r="H5" s="33" t="n">
        <v>0</v>
      </c>
      <c r="I5" s="33" t="n">
        <v>8</v>
      </c>
      <c r="J5" s="36" t="n">
        <v>0.667</v>
      </c>
      <c r="K5" s="40" t="n"/>
      <c r="L5" s="33" t="n"/>
      <c r="M5" s="33" t="n"/>
      <c r="N5" s="41" t="n"/>
    </row>
    <row r="6" ht="15" customHeight="1" s="24">
      <c r="A6" s="28" t="inlineStr">
        <is>
          <t>Angel Rodriguez</t>
        </is>
      </c>
      <c r="B6" s="28" t="inlineStr">
        <is>
          <t>Team Trampa</t>
        </is>
      </c>
      <c r="C6" s="33" t="n">
        <v>2</v>
      </c>
      <c r="D6" s="33" t="n">
        <v>7</v>
      </c>
      <c r="E6" s="33" t="n">
        <v>4</v>
      </c>
      <c r="F6" s="33" t="n">
        <v>1</v>
      </c>
      <c r="G6" s="33" t="n">
        <v>1</v>
      </c>
      <c r="H6" s="33" t="n">
        <v>1</v>
      </c>
      <c r="I6" s="33" t="n">
        <v>4</v>
      </c>
      <c r="J6" s="36" t="n">
        <v>0.667</v>
      </c>
      <c r="K6" s="40" t="n"/>
      <c r="L6" s="33" t="n"/>
      <c r="M6" s="33" t="n"/>
      <c r="N6" s="41" t="n"/>
    </row>
    <row r="7" ht="15" customHeight="1" s="24">
      <c r="A7" s="28" t="inlineStr">
        <is>
          <t>Luis Falcon</t>
        </is>
      </c>
      <c r="B7" s="28" t="inlineStr">
        <is>
          <t>Team Trampa</t>
        </is>
      </c>
      <c r="C7" s="33" t="n">
        <v>2</v>
      </c>
      <c r="D7" s="33" t="n">
        <v>6</v>
      </c>
      <c r="E7" s="33" t="n">
        <v>4</v>
      </c>
      <c r="F7" s="33" t="n">
        <v>1</v>
      </c>
      <c r="G7" s="33" t="n">
        <v>0</v>
      </c>
      <c r="H7" s="33" t="n">
        <v>0</v>
      </c>
      <c r="I7" s="33" t="n">
        <v>3</v>
      </c>
      <c r="J7" s="36" t="n">
        <v>0.8</v>
      </c>
      <c r="K7" s="40" t="n"/>
      <c r="L7" s="33" t="n"/>
      <c r="M7" s="33" t="n"/>
      <c r="N7" s="41" t="n"/>
    </row>
    <row r="8" ht="15" customHeight="1" s="24">
      <c r="A8" s="28" t="inlineStr">
        <is>
          <t>Oscar Felibert</t>
        </is>
      </c>
      <c r="B8" s="28" t="inlineStr">
        <is>
          <t>Team Trampa</t>
        </is>
      </c>
      <c r="C8" s="33" t="n">
        <v>2</v>
      </c>
      <c r="D8" s="33" t="n">
        <v>5</v>
      </c>
      <c r="E8" s="33" t="n">
        <v>4</v>
      </c>
      <c r="F8" s="33" t="n">
        <v>0</v>
      </c>
      <c r="G8" s="33" t="n">
        <v>0</v>
      </c>
      <c r="H8" s="33" t="n">
        <v>0</v>
      </c>
      <c r="I8" s="33" t="n">
        <v>3</v>
      </c>
      <c r="J8" s="36" t="n">
        <v>0.8</v>
      </c>
      <c r="K8" s="40" t="n"/>
      <c r="L8" s="33" t="n"/>
      <c r="M8" s="33" t="n"/>
      <c r="N8" s="41" t="n"/>
    </row>
    <row r="9" ht="15" customHeight="1" s="24">
      <c r="A9" s="28" t="inlineStr">
        <is>
          <t>Oscar Lopez</t>
        </is>
      </c>
      <c r="B9" s="28" t="inlineStr">
        <is>
          <t>Team Trampa</t>
        </is>
      </c>
      <c r="C9" s="33" t="n">
        <v>2</v>
      </c>
      <c r="D9" s="33" t="n">
        <v>6</v>
      </c>
      <c r="E9" s="33" t="n">
        <v>5</v>
      </c>
      <c r="F9" s="33" t="n">
        <v>1</v>
      </c>
      <c r="G9" s="33" t="n">
        <v>1</v>
      </c>
      <c r="H9" s="33" t="n">
        <v>0</v>
      </c>
      <c r="I9" s="33" t="n">
        <v>2</v>
      </c>
      <c r="J9" s="36" t="n">
        <v>0.833</v>
      </c>
      <c r="K9" s="40" t="n"/>
      <c r="L9" s="33" t="n"/>
      <c r="M9" s="33" t="n"/>
      <c r="N9" s="41" t="n"/>
    </row>
    <row r="10" ht="15" customHeight="1" s="24">
      <c r="A10" s="28" t="inlineStr">
        <is>
          <t>Jhon Brenan</t>
        </is>
      </c>
      <c r="B10" s="28" t="inlineStr">
        <is>
          <t>Team Trampa</t>
        </is>
      </c>
      <c r="C10" s="33" t="n">
        <v>1</v>
      </c>
      <c r="D10" s="33" t="n">
        <v>4</v>
      </c>
      <c r="E10" s="33" t="n">
        <v>2</v>
      </c>
      <c r="F10" s="33" t="n">
        <v>1</v>
      </c>
      <c r="G10" s="33" t="n">
        <v>0</v>
      </c>
      <c r="H10" s="33" t="n">
        <v>0</v>
      </c>
      <c r="I10" s="33" t="n">
        <v>2</v>
      </c>
      <c r="J10" s="36" t="n">
        <v>0.5</v>
      </c>
      <c r="K10" s="40" t="n"/>
      <c r="L10" s="33" t="n"/>
      <c r="M10" s="33" t="n"/>
      <c r="N10" s="41" t="n"/>
    </row>
    <row r="11" ht="15" customHeight="1" s="24">
      <c r="A11" s="28" t="inlineStr">
        <is>
          <t>Jair Gonzalez</t>
        </is>
      </c>
      <c r="B11" s="28" t="inlineStr">
        <is>
          <t>Team Trampa</t>
        </is>
      </c>
      <c r="C11" s="33" t="n">
        <v>2</v>
      </c>
      <c r="D11" s="33" t="n">
        <v>7</v>
      </c>
      <c r="E11" s="33" t="n">
        <v>2</v>
      </c>
      <c r="F11" s="33" t="n">
        <v>0</v>
      </c>
      <c r="G11" s="33" t="n">
        <v>0</v>
      </c>
      <c r="H11" s="33" t="n">
        <v>1</v>
      </c>
      <c r="I11" s="33" t="n">
        <v>2</v>
      </c>
      <c r="J11" s="36" t="n">
        <v>0.333</v>
      </c>
      <c r="K11" s="40" t="n"/>
      <c r="L11" s="33" t="n"/>
      <c r="M11" s="33" t="n"/>
      <c r="N11" s="41" t="n"/>
    </row>
    <row r="12" ht="15" customHeight="1" s="24">
      <c r="A12" s="28" t="inlineStr">
        <is>
          <t>Jair Best</t>
        </is>
      </c>
      <c r="B12" s="28" t="inlineStr">
        <is>
          <t>Team Trampa</t>
        </is>
      </c>
      <c r="C12" s="33" t="n">
        <v>2</v>
      </c>
      <c r="D12" s="33" t="n">
        <v>7</v>
      </c>
      <c r="E12" s="33" t="n">
        <v>3</v>
      </c>
      <c r="F12" s="33" t="n">
        <v>1</v>
      </c>
      <c r="G12" s="33" t="n">
        <v>0</v>
      </c>
      <c r="H12" s="33" t="n">
        <v>0</v>
      </c>
      <c r="I12" s="33" t="n">
        <v>1</v>
      </c>
      <c r="J12" s="36" t="n">
        <v>0.429</v>
      </c>
      <c r="K12" s="40" t="n"/>
      <c r="L12" s="33" t="n"/>
      <c r="M12" s="33" t="n"/>
      <c r="N12" s="41" t="n"/>
    </row>
    <row r="13" ht="15" customHeight="1" s="24">
      <c r="A13" s="28" t="inlineStr">
        <is>
          <t>Virgilio Santos</t>
        </is>
      </c>
      <c r="B13" s="28" t="inlineStr">
        <is>
          <t>Team Trampa</t>
        </is>
      </c>
      <c r="C13" s="33" t="n">
        <v>2</v>
      </c>
      <c r="D13" s="33" t="n">
        <v>7</v>
      </c>
      <c r="E13" s="33" t="n">
        <v>2</v>
      </c>
      <c r="F13" s="33" t="n">
        <v>1</v>
      </c>
      <c r="G13" s="33" t="n">
        <v>0</v>
      </c>
      <c r="H13" s="33" t="n">
        <v>0</v>
      </c>
      <c r="I13" s="33" t="n">
        <v>1</v>
      </c>
      <c r="J13" s="36" t="n">
        <v>0.333</v>
      </c>
      <c r="K13" s="40" t="n"/>
      <c r="L13" s="33" t="n"/>
      <c r="M13" s="33" t="n"/>
      <c r="N13" s="41" t="n"/>
    </row>
    <row r="14" ht="15" customHeight="1" s="24">
      <c r="A14" s="28" t="inlineStr">
        <is>
          <t>Erick Zarate</t>
        </is>
      </c>
      <c r="B14" s="28" t="inlineStr">
        <is>
          <t>Team Trampa</t>
        </is>
      </c>
      <c r="C14" s="33" t="n">
        <v>1</v>
      </c>
      <c r="D14" s="33" t="n">
        <v>1</v>
      </c>
      <c r="E14" s="33" t="n">
        <v>1</v>
      </c>
      <c r="F14" s="33" t="n">
        <v>0</v>
      </c>
      <c r="G14" s="33" t="n">
        <v>0</v>
      </c>
      <c r="H14" s="33" t="n">
        <v>0</v>
      </c>
      <c r="I14" s="33" t="n">
        <v>1</v>
      </c>
      <c r="J14" s="36" t="n">
        <v>1</v>
      </c>
      <c r="K14" s="40" t="n"/>
      <c r="L14" s="33" t="n"/>
      <c r="M14" s="33" t="n"/>
      <c r="N14" s="41" t="n"/>
    </row>
    <row r="15" ht="15" customHeight="1" s="24">
      <c r="A15" s="28" t="inlineStr">
        <is>
          <t>Josue Vega</t>
        </is>
      </c>
      <c r="B15" s="28" t="inlineStr">
        <is>
          <t>Team Trampa</t>
        </is>
      </c>
      <c r="C15" s="33" t="n">
        <v>1</v>
      </c>
      <c r="D15" s="33" t="n">
        <v>3</v>
      </c>
      <c r="E15" s="33" t="n">
        <v>1</v>
      </c>
      <c r="F15" s="33" t="n">
        <v>0</v>
      </c>
      <c r="G15" s="33" t="n">
        <v>0</v>
      </c>
      <c r="H15" s="33" t="n">
        <v>0</v>
      </c>
      <c r="I15" s="33" t="n">
        <v>1</v>
      </c>
      <c r="J15" s="36" t="n">
        <v>0.333</v>
      </c>
      <c r="K15" s="40" t="n"/>
      <c r="L15" s="33" t="n"/>
      <c r="M15" s="33" t="n"/>
      <c r="N15" s="41" t="n"/>
    </row>
    <row r="16" ht="15" customHeight="1" s="24">
      <c r="A16" s="28" t="inlineStr">
        <is>
          <t>Jorge Chevez</t>
        </is>
      </c>
      <c r="B16" s="28" t="inlineStr">
        <is>
          <t>Team Trampa</t>
        </is>
      </c>
      <c r="C16" s="33" t="n">
        <v>2</v>
      </c>
      <c r="D16" s="33" t="n">
        <v>2</v>
      </c>
      <c r="E16" s="33" t="n">
        <v>2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1</v>
      </c>
      <c r="K16" s="40" t="n"/>
      <c r="L16" s="33" t="n"/>
      <c r="M16" s="33" t="n"/>
      <c r="N16" s="41" t="n"/>
    </row>
    <row r="17" ht="15" customHeight="1" s="24">
      <c r="A17" s="28" t="inlineStr">
        <is>
          <t>Carlos Holder</t>
        </is>
      </c>
      <c r="B17" s="28" t="inlineStr">
        <is>
          <t>Team Trampa</t>
        </is>
      </c>
      <c r="C17" s="33" t="n">
        <v>1</v>
      </c>
      <c r="D17" s="33" t="n">
        <v>2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>
        <v>0</v>
      </c>
      <c r="K17" s="40" t="n"/>
      <c r="L17" s="33" t="n"/>
      <c r="M17" s="33" t="n"/>
      <c r="N17" s="41" t="n"/>
    </row>
    <row r="18" ht="15" customHeight="1" s="24">
      <c r="A18" s="28" t="inlineStr">
        <is>
          <t>Oscar De Leon</t>
        </is>
      </c>
      <c r="B18" s="28" t="inlineStr">
        <is>
          <t>Team Trampa</t>
        </is>
      </c>
      <c r="C18" s="33" t="n">
        <v>1</v>
      </c>
      <c r="D18" s="33" t="n">
        <v>1</v>
      </c>
      <c r="E18" s="33" t="n">
        <v>0</v>
      </c>
      <c r="F18" s="33" t="n">
        <v>0</v>
      </c>
      <c r="G18" s="33" t="n">
        <v>0</v>
      </c>
      <c r="H18" s="33" t="n">
        <v>0</v>
      </c>
      <c r="I18" s="33" t="n">
        <v>0</v>
      </c>
      <c r="J18" s="36" t="n">
        <v>0</v>
      </c>
      <c r="K18" s="40" t="n"/>
      <c r="L18" s="33" t="n"/>
      <c r="M18" s="33" t="n"/>
      <c r="N18" s="41" t="n"/>
    </row>
    <row r="19" ht="15" customHeight="1" s="24">
      <c r="A19" s="28" t="inlineStr">
        <is>
          <t>Roberto Salas</t>
        </is>
      </c>
      <c r="B19" s="28" t="inlineStr">
        <is>
          <t>Team Trampa</t>
        </is>
      </c>
      <c r="C19" s="33" t="n">
        <v>2</v>
      </c>
      <c r="D19" s="33" t="n">
        <v>3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>
        <v>0</v>
      </c>
      <c r="K19" s="40" t="n"/>
      <c r="L19" s="33" t="n"/>
      <c r="M19" s="33" t="n"/>
      <c r="N19" s="41" t="n"/>
    </row>
    <row r="20" ht="15" customHeight="1" s="24">
      <c r="A20" s="28" t="inlineStr">
        <is>
          <t>Micky Sanchez</t>
        </is>
      </c>
      <c r="B20" s="28" t="inlineStr">
        <is>
          <t>Team Trampa</t>
        </is>
      </c>
      <c r="C20" s="33" t="n">
        <v>2</v>
      </c>
      <c r="D20" s="33" t="n">
        <v>0</v>
      </c>
      <c r="E20" s="33" t="n">
        <v>0</v>
      </c>
      <c r="F20" s="33" t="n">
        <v>0</v>
      </c>
      <c r="G20" s="33" t="n">
        <v>0</v>
      </c>
      <c r="H20" s="33" t="n">
        <v>0</v>
      </c>
      <c r="I20" s="33" t="n">
        <v>0</v>
      </c>
      <c r="J20" s="36" t="n"/>
      <c r="K20" s="40" t="n">
        <v>5</v>
      </c>
      <c r="L20" s="33" t="n">
        <v>1</v>
      </c>
      <c r="M20" s="33" t="n">
        <v>1</v>
      </c>
      <c r="N20" s="41" t="n">
        <v>7</v>
      </c>
    </row>
    <row r="21">
      <c r="A21" s="28" t="inlineStr">
        <is>
          <t>Andy Bravo</t>
        </is>
      </c>
      <c r="B21" s="28" t="inlineStr">
        <is>
          <t>Team Trampa</t>
        </is>
      </c>
      <c r="C21" s="33" t="n">
        <v>1</v>
      </c>
      <c r="D21" s="33" t="n">
        <v>0</v>
      </c>
      <c r="E21" s="33" t="n">
        <v>0</v>
      </c>
      <c r="F21" s="33" t="n">
        <v>0</v>
      </c>
      <c r="G21" s="33" t="n">
        <v>0</v>
      </c>
      <c r="H21" s="33" t="n">
        <v>0</v>
      </c>
      <c r="I21" s="33" t="n">
        <v>0</v>
      </c>
      <c r="J21" s="36" t="n"/>
      <c r="K21" s="40" t="n">
        <v>4</v>
      </c>
      <c r="L21" s="33" t="n">
        <v>1</v>
      </c>
      <c r="M21" s="33" t="n">
        <v>1</v>
      </c>
      <c r="N21" s="41" t="n">
        <v>1.75</v>
      </c>
    </row>
    <row r="22">
      <c r="A22" s="28" t="inlineStr">
        <is>
          <t>Luis Casis</t>
        </is>
      </c>
      <c r="B22" s="28" t="inlineStr">
        <is>
          <t>Team Trampa</t>
        </is>
      </c>
      <c r="C22" s="33" t="n">
        <v>1</v>
      </c>
      <c r="D22" s="33" t="n">
        <v>0</v>
      </c>
      <c r="E22" s="33" t="n">
        <v>0</v>
      </c>
      <c r="F22" s="33" t="n">
        <v>0</v>
      </c>
      <c r="G22" s="33" t="n">
        <v>0</v>
      </c>
      <c r="H22" s="33" t="n">
        <v>0</v>
      </c>
      <c r="I22" s="33" t="n">
        <v>0</v>
      </c>
      <c r="J22" s="36" t="n"/>
      <c r="K22" s="40" t="n">
        <v>1</v>
      </c>
      <c r="L22" s="33" t="n">
        <v>0</v>
      </c>
      <c r="M22" s="33" t="n">
        <v>1</v>
      </c>
      <c r="N22" s="41" t="n">
        <v>35</v>
      </c>
    </row>
    <row r="23">
      <c r="A23" s="42" t="inlineStr">
        <is>
          <t>Total del equipo</t>
        </is>
      </c>
      <c r="B23" s="43" t="n"/>
      <c r="C23" s="43" t="n"/>
      <c r="D23" s="44">
        <f>SUM(D5:D22)</f>
        <v/>
      </c>
      <c r="E23" s="44">
        <f>SUM(E5:E22)</f>
        <v/>
      </c>
      <c r="F23" s="44">
        <f>SUM(F5:F22)</f>
        <v/>
      </c>
      <c r="G23" s="44">
        <f>SUM(G5:G22)</f>
        <v/>
      </c>
      <c r="H23" s="44">
        <f>SUM(H5:H22)</f>
        <v/>
      </c>
      <c r="I23" s="44">
        <f>SUM(I5:I22)</f>
        <v/>
      </c>
      <c r="J23" s="43" t="n"/>
      <c r="K23" s="45" t="n">
        <v>10</v>
      </c>
      <c r="L23" s="44">
        <f>SUM(L5:L22)</f>
        <v/>
      </c>
      <c r="M23" s="44">
        <f>SUM(M5:M22)</f>
        <v/>
      </c>
      <c r="N23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White Lions</t>
        </is>
      </c>
    </row>
    <row r="2" ht="15" customHeight="1" s="24">
      <c r="A2" s="31" t="inlineStr">
        <is>
          <t>Meracho Senior · Temporada 21 · corte después de la jornada 2 (miércoles 23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Oliver Rubio</t>
        </is>
      </c>
      <c r="B5" s="28" t="inlineStr">
        <is>
          <t>White Lions</t>
        </is>
      </c>
      <c r="C5" s="33" t="n">
        <v>2</v>
      </c>
      <c r="D5" s="33" t="n">
        <v>5</v>
      </c>
      <c r="E5" s="33" t="n">
        <v>4</v>
      </c>
      <c r="F5" s="33" t="n">
        <v>2</v>
      </c>
      <c r="G5" s="33" t="n">
        <v>1</v>
      </c>
      <c r="H5" s="33" t="n">
        <v>0</v>
      </c>
      <c r="I5" s="33" t="n">
        <v>4</v>
      </c>
      <c r="J5" s="36" t="n">
        <v>1</v>
      </c>
      <c r="K5" s="40" t="n"/>
      <c r="L5" s="33" t="n"/>
      <c r="M5" s="33" t="n"/>
      <c r="N5" s="41" t="n"/>
    </row>
    <row r="6" ht="15" customHeight="1" s="24">
      <c r="A6" s="28" t="inlineStr">
        <is>
          <t>Pablo Duran</t>
        </is>
      </c>
      <c r="B6" s="28" t="inlineStr">
        <is>
          <t>White Lions</t>
        </is>
      </c>
      <c r="C6" s="33" t="n">
        <v>2</v>
      </c>
      <c r="D6" s="33" t="n">
        <v>6</v>
      </c>
      <c r="E6" s="33" t="n">
        <v>2</v>
      </c>
      <c r="F6" s="33" t="n">
        <v>1</v>
      </c>
      <c r="G6" s="33" t="n">
        <v>0</v>
      </c>
      <c r="H6" s="33" t="n">
        <v>0</v>
      </c>
      <c r="I6" s="33" t="n">
        <v>2</v>
      </c>
      <c r="J6" s="36" t="n">
        <v>0.333</v>
      </c>
      <c r="K6" s="40" t="n"/>
      <c r="L6" s="33" t="n"/>
      <c r="M6" s="33" t="n"/>
      <c r="N6" s="41" t="n"/>
    </row>
    <row r="7" ht="15" customHeight="1" s="24">
      <c r="A7" s="28" t="inlineStr">
        <is>
          <t>Gabriel Caballero</t>
        </is>
      </c>
      <c r="B7" s="28" t="inlineStr">
        <is>
          <t>White Lions</t>
        </is>
      </c>
      <c r="C7" s="33" t="n">
        <v>2</v>
      </c>
      <c r="D7" s="33" t="n">
        <v>5</v>
      </c>
      <c r="E7" s="33" t="n">
        <v>2</v>
      </c>
      <c r="F7" s="33" t="n">
        <v>0</v>
      </c>
      <c r="G7" s="33" t="n">
        <v>0</v>
      </c>
      <c r="H7" s="33" t="n">
        <v>0</v>
      </c>
      <c r="I7" s="33" t="n">
        <v>1</v>
      </c>
      <c r="J7" s="36" t="n">
        <v>0.4</v>
      </c>
      <c r="K7" s="40" t="n"/>
      <c r="L7" s="33" t="n"/>
      <c r="M7" s="33" t="n"/>
      <c r="N7" s="41" t="n"/>
    </row>
    <row r="8" ht="15" customHeight="1" s="24">
      <c r="A8" s="28" t="inlineStr">
        <is>
          <t>Francisco Martin</t>
        </is>
      </c>
      <c r="B8" s="28" t="inlineStr">
        <is>
          <t>White Lions</t>
        </is>
      </c>
      <c r="C8" s="33" t="n">
        <v>1</v>
      </c>
      <c r="D8" s="33" t="n">
        <v>1</v>
      </c>
      <c r="E8" s="33" t="n">
        <v>1</v>
      </c>
      <c r="F8" s="33" t="n">
        <v>0</v>
      </c>
      <c r="G8" s="33" t="n">
        <v>0</v>
      </c>
      <c r="H8" s="33" t="n">
        <v>0</v>
      </c>
      <c r="I8" s="33" t="n">
        <v>1</v>
      </c>
      <c r="J8" s="36" t="n">
        <v>1</v>
      </c>
      <c r="K8" s="40" t="n"/>
      <c r="L8" s="33" t="n"/>
      <c r="M8" s="33" t="n"/>
      <c r="N8" s="41" t="n"/>
    </row>
    <row r="9" ht="15" customHeight="1" s="24">
      <c r="A9" s="28" t="inlineStr">
        <is>
          <t>Javier Nay</t>
        </is>
      </c>
      <c r="B9" s="28" t="inlineStr">
        <is>
          <t>White Lions</t>
        </is>
      </c>
      <c r="C9" s="33" t="n">
        <v>2</v>
      </c>
      <c r="D9" s="33" t="n">
        <v>4</v>
      </c>
      <c r="E9" s="33" t="n">
        <v>1</v>
      </c>
      <c r="F9" s="33" t="n">
        <v>0</v>
      </c>
      <c r="G9" s="33" t="n">
        <v>0</v>
      </c>
      <c r="H9" s="33" t="n">
        <v>0</v>
      </c>
      <c r="I9" s="33" t="n">
        <v>1</v>
      </c>
      <c r="J9" s="36" t="n">
        <v>0.5</v>
      </c>
      <c r="K9" s="40" t="n"/>
      <c r="L9" s="33" t="n"/>
      <c r="M9" s="33" t="n"/>
      <c r="N9" s="41" t="n"/>
    </row>
    <row r="10" ht="15" customHeight="1" s="24">
      <c r="A10" s="28" t="inlineStr">
        <is>
          <t>Carlos Merida</t>
        </is>
      </c>
      <c r="B10" s="28" t="inlineStr">
        <is>
          <t>White Lions</t>
        </is>
      </c>
      <c r="C10" s="33" t="n">
        <v>2</v>
      </c>
      <c r="D10" s="33" t="n">
        <v>3</v>
      </c>
      <c r="E10" s="33" t="n">
        <v>1</v>
      </c>
      <c r="F10" s="33" t="n">
        <v>1</v>
      </c>
      <c r="G10" s="33" t="n">
        <v>0</v>
      </c>
      <c r="H10" s="33" t="n">
        <v>0</v>
      </c>
      <c r="I10" s="33" t="n">
        <v>1</v>
      </c>
      <c r="J10" s="36" t="n">
        <v>0.333</v>
      </c>
      <c r="K10" s="40" t="n"/>
      <c r="L10" s="33" t="n"/>
      <c r="M10" s="33" t="n"/>
      <c r="N10" s="41" t="n"/>
    </row>
    <row r="11" ht="15" customHeight="1" s="24">
      <c r="A11" s="28" t="inlineStr">
        <is>
          <t>Edwin Lopez</t>
        </is>
      </c>
      <c r="B11" s="28" t="inlineStr">
        <is>
          <t>White Lions</t>
        </is>
      </c>
      <c r="C11" s="33" t="n">
        <v>2</v>
      </c>
      <c r="D11" s="33" t="n">
        <v>5</v>
      </c>
      <c r="E11" s="33" t="n">
        <v>1</v>
      </c>
      <c r="F11" s="33" t="n">
        <v>0</v>
      </c>
      <c r="G11" s="33" t="n">
        <v>0</v>
      </c>
      <c r="H11" s="33" t="n">
        <v>0</v>
      </c>
      <c r="I11" s="33" t="n">
        <v>1</v>
      </c>
      <c r="J11" s="36" t="n">
        <v>0.2</v>
      </c>
      <c r="K11" s="40" t="n"/>
      <c r="L11" s="33" t="n"/>
      <c r="M11" s="33" t="n"/>
      <c r="N11" s="41" t="n"/>
    </row>
    <row r="12" ht="15" customHeight="1" s="24">
      <c r="A12" s="28" t="inlineStr">
        <is>
          <t>Jose Acevedo</t>
        </is>
      </c>
      <c r="B12" s="28" t="inlineStr">
        <is>
          <t>White Lions</t>
        </is>
      </c>
      <c r="C12" s="33" t="n">
        <v>1</v>
      </c>
      <c r="D12" s="33" t="n">
        <v>3</v>
      </c>
      <c r="E12" s="33" t="n">
        <v>0</v>
      </c>
      <c r="F12" s="33" t="n">
        <v>0</v>
      </c>
      <c r="G12" s="33" t="n">
        <v>0</v>
      </c>
      <c r="H12" s="33" t="n">
        <v>0</v>
      </c>
      <c r="I12" s="33" t="n">
        <v>1</v>
      </c>
      <c r="J12" s="36" t="n">
        <v>0</v>
      </c>
      <c r="K12" s="40" t="n"/>
      <c r="L12" s="33" t="n"/>
      <c r="M12" s="33" t="n"/>
      <c r="N12" s="41" t="n"/>
    </row>
    <row r="13" ht="15" customHeight="1" s="24">
      <c r="A13" s="28" t="inlineStr">
        <is>
          <t>Emanuel Diaz</t>
        </is>
      </c>
      <c r="B13" s="28" t="inlineStr">
        <is>
          <t>White Lions</t>
        </is>
      </c>
      <c r="C13" s="33" t="n">
        <v>2</v>
      </c>
      <c r="D13" s="33" t="n">
        <v>3</v>
      </c>
      <c r="E13" s="33" t="n">
        <v>2</v>
      </c>
      <c r="F13" s="33" t="n">
        <v>0</v>
      </c>
      <c r="G13" s="33" t="n">
        <v>0</v>
      </c>
      <c r="H13" s="33" t="n">
        <v>0</v>
      </c>
      <c r="I13" s="33" t="n">
        <v>0</v>
      </c>
      <c r="J13" s="36" t="n">
        <v>1</v>
      </c>
      <c r="K13" s="40" t="n"/>
      <c r="L13" s="33" t="n"/>
      <c r="M13" s="33" t="n"/>
      <c r="N13" s="41" t="n"/>
    </row>
    <row r="14" ht="15" customHeight="1" s="24">
      <c r="A14" s="28" t="inlineStr">
        <is>
          <t>Roberto Marquez</t>
        </is>
      </c>
      <c r="B14" s="28" t="inlineStr">
        <is>
          <t>White Lions</t>
        </is>
      </c>
      <c r="C14" s="33" t="n">
        <v>2</v>
      </c>
      <c r="D14" s="33" t="n">
        <v>4</v>
      </c>
      <c r="E14" s="33" t="n">
        <v>2</v>
      </c>
      <c r="F14" s="33" t="n">
        <v>0</v>
      </c>
      <c r="G14" s="33" t="n">
        <v>0</v>
      </c>
      <c r="H14" s="33" t="n">
        <v>0</v>
      </c>
      <c r="I14" s="33" t="n">
        <v>0</v>
      </c>
      <c r="J14" s="36" t="n">
        <v>0.5</v>
      </c>
      <c r="K14" s="40" t="n"/>
      <c r="L14" s="33" t="n"/>
      <c r="M14" s="33" t="n"/>
      <c r="N14" s="41" t="n"/>
    </row>
    <row r="15" ht="15" customHeight="1" s="24">
      <c r="A15" s="28" t="inlineStr">
        <is>
          <t>Jossue Castillo</t>
        </is>
      </c>
      <c r="B15" s="28" t="inlineStr">
        <is>
          <t>White Lions</t>
        </is>
      </c>
      <c r="C15" s="33" t="n">
        <v>2</v>
      </c>
      <c r="D15" s="33" t="n">
        <v>6</v>
      </c>
      <c r="E15" s="33" t="n">
        <v>1</v>
      </c>
      <c r="F15" s="33" t="n">
        <v>0</v>
      </c>
      <c r="G15" s="33" t="n">
        <v>0</v>
      </c>
      <c r="H15" s="33" t="n">
        <v>0</v>
      </c>
      <c r="I15" s="33" t="n">
        <v>0</v>
      </c>
      <c r="J15" s="36" t="n">
        <v>1</v>
      </c>
      <c r="K15" s="40" t="n"/>
      <c r="L15" s="33" t="n"/>
      <c r="M15" s="33" t="n"/>
      <c r="N15" s="41" t="n"/>
    </row>
    <row r="16" ht="15" customHeight="1" s="24">
      <c r="A16" s="28" t="inlineStr">
        <is>
          <t>Cristian Bellido</t>
        </is>
      </c>
      <c r="B16" s="28" t="inlineStr">
        <is>
          <t>White Lions</t>
        </is>
      </c>
      <c r="C16" s="33" t="n">
        <v>2</v>
      </c>
      <c r="D16" s="33" t="n">
        <v>2</v>
      </c>
      <c r="E16" s="33" t="n">
        <v>1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0.5</v>
      </c>
      <c r="K16" s="40" t="n"/>
      <c r="L16" s="33" t="n"/>
      <c r="M16" s="33" t="n"/>
      <c r="N16" s="41" t="n"/>
    </row>
    <row r="17" ht="15" customHeight="1" s="24">
      <c r="A17" s="28" t="inlineStr">
        <is>
          <t>Francisco Mena</t>
        </is>
      </c>
      <c r="B17" s="28" t="inlineStr">
        <is>
          <t>White Lions</t>
        </is>
      </c>
      <c r="C17" s="33" t="n">
        <v>2</v>
      </c>
      <c r="D17" s="33" t="n">
        <v>3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>
        <v>0</v>
      </c>
      <c r="K17" s="40" t="n"/>
      <c r="L17" s="33" t="n"/>
      <c r="M17" s="33" t="n"/>
      <c r="N17" s="41" t="n"/>
    </row>
    <row r="18" ht="15" customHeight="1" s="24">
      <c r="A18" s="28" t="inlineStr">
        <is>
          <t>Julio Muñoz</t>
        </is>
      </c>
      <c r="B18" s="28" t="inlineStr">
        <is>
          <t>White Lions</t>
        </is>
      </c>
      <c r="C18" s="33" t="n">
        <v>2</v>
      </c>
      <c r="D18" s="33" t="n">
        <v>3</v>
      </c>
      <c r="E18" s="33" t="n">
        <v>0</v>
      </c>
      <c r="F18" s="33" t="n">
        <v>0</v>
      </c>
      <c r="G18" s="33" t="n">
        <v>0</v>
      </c>
      <c r="H18" s="33" t="n">
        <v>0</v>
      </c>
      <c r="I18" s="33" t="n">
        <v>0</v>
      </c>
      <c r="J18" s="36" t="n">
        <v>0</v>
      </c>
      <c r="K18" s="40" t="n"/>
      <c r="L18" s="33" t="n"/>
      <c r="M18" s="33" t="n"/>
      <c r="N18" s="41" t="n"/>
    </row>
    <row r="19" ht="15" customHeight="1" s="24">
      <c r="A19" s="28" t="inlineStr">
        <is>
          <t>Luis Llorente</t>
        </is>
      </c>
      <c r="B19" s="28" t="inlineStr">
        <is>
          <t>White Lions</t>
        </is>
      </c>
      <c r="C19" s="33" t="n">
        <v>2</v>
      </c>
      <c r="D19" s="33" t="n">
        <v>2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>
        <v>0</v>
      </c>
      <c r="K19" s="40" t="n"/>
      <c r="L19" s="33" t="n"/>
      <c r="M19" s="33" t="n"/>
      <c r="N19" s="41" t="n"/>
    </row>
    <row r="20" ht="15" customHeight="1" s="24">
      <c r="A20" s="28" t="inlineStr">
        <is>
          <t>Martin Paddy</t>
        </is>
      </c>
      <c r="B20" s="28" t="inlineStr">
        <is>
          <t>White Lions</t>
        </is>
      </c>
      <c r="C20" s="33" t="n">
        <v>1</v>
      </c>
      <c r="D20" s="33" t="n">
        <v>1</v>
      </c>
      <c r="E20" s="33" t="n">
        <v>0</v>
      </c>
      <c r="F20" s="33" t="n">
        <v>0</v>
      </c>
      <c r="G20" s="33" t="n">
        <v>0</v>
      </c>
      <c r="H20" s="33" t="n">
        <v>0</v>
      </c>
      <c r="I20" s="33" t="n">
        <v>0</v>
      </c>
      <c r="J20" s="36" t="n"/>
      <c r="K20" s="40" t="n"/>
      <c r="L20" s="33" t="n"/>
      <c r="M20" s="33" t="n"/>
      <c r="N20" s="41" t="n"/>
    </row>
    <row r="21" ht="15" customHeight="1" s="24">
      <c r="A21" s="28" t="inlineStr">
        <is>
          <t>Pablo Ortiz</t>
        </is>
      </c>
      <c r="B21" s="28" t="inlineStr">
        <is>
          <t>White Lions</t>
        </is>
      </c>
      <c r="C21" s="33" t="n">
        <v>1</v>
      </c>
      <c r="D21" s="33" t="n">
        <v>2</v>
      </c>
      <c r="E21" s="33" t="n">
        <v>0</v>
      </c>
      <c r="F21" s="33" t="n">
        <v>0</v>
      </c>
      <c r="G21" s="33" t="n">
        <v>0</v>
      </c>
      <c r="H21" s="33" t="n">
        <v>0</v>
      </c>
      <c r="I21" s="33" t="n">
        <v>0</v>
      </c>
      <c r="J21" s="36" t="n">
        <v>0</v>
      </c>
      <c r="K21" s="40" t="n"/>
      <c r="L21" s="33" t="n"/>
      <c r="M21" s="33" t="n"/>
      <c r="N21" s="41" t="n"/>
    </row>
    <row r="22">
      <c r="A22" s="28" t="inlineStr">
        <is>
          <t>Josue Bragtley</t>
        </is>
      </c>
      <c r="B22" s="28" t="inlineStr">
        <is>
          <t>White Lions</t>
        </is>
      </c>
      <c r="C22" s="33" t="n">
        <v>2</v>
      </c>
      <c r="D22" s="33" t="n">
        <v>0</v>
      </c>
      <c r="E22" s="33" t="n">
        <v>0</v>
      </c>
      <c r="F22" s="33" t="n">
        <v>0</v>
      </c>
      <c r="G22" s="33" t="n">
        <v>0</v>
      </c>
      <c r="H22" s="33" t="n">
        <v>0</v>
      </c>
      <c r="I22" s="33" t="n">
        <v>0</v>
      </c>
      <c r="J22" s="36" t="n"/>
      <c r="K22" s="40" t="n">
        <v>8</v>
      </c>
      <c r="L22" s="33" t="n">
        <v>1</v>
      </c>
      <c r="M22" s="33" t="n">
        <v>1</v>
      </c>
      <c r="N22" s="41" t="n">
        <v>10.5</v>
      </c>
    </row>
    <row r="23">
      <c r="A23" s="28" t="inlineStr">
        <is>
          <t>Erick Villarreal</t>
        </is>
      </c>
      <c r="B23" s="28" t="inlineStr">
        <is>
          <t>White Lions</t>
        </is>
      </c>
      <c r="C23" s="33" t="n">
        <v>1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J23" s="36" t="n"/>
      <c r="K23" s="40" t="n">
        <v>2</v>
      </c>
      <c r="L23" s="33" t="n">
        <v>0</v>
      </c>
      <c r="M23" s="33" t="n">
        <v>0</v>
      </c>
      <c r="N23" s="41" t="n">
        <v>10.5</v>
      </c>
    </row>
    <row r="24">
      <c r="A24" s="42" t="inlineStr">
        <is>
          <t>Total del equipo</t>
        </is>
      </c>
      <c r="B24" s="43" t="n"/>
      <c r="C24" s="43" t="n"/>
      <c r="D24" s="44">
        <f>SUM(D5:D23)</f>
        <v/>
      </c>
      <c r="E24" s="44">
        <f>SUM(E5:E23)</f>
        <v/>
      </c>
      <c r="F24" s="44">
        <f>SUM(F5:F23)</f>
        <v/>
      </c>
      <c r="G24" s="44">
        <f>SUM(G5:G23)</f>
        <v/>
      </c>
      <c r="H24" s="44">
        <f>SUM(H5:H23)</f>
        <v/>
      </c>
      <c r="I24" s="44">
        <f>SUM(I5:I23)</f>
        <v/>
      </c>
      <c r="J24" s="43" t="n"/>
      <c r="K24" s="45" t="n">
        <v>10</v>
      </c>
      <c r="L24" s="44">
        <f>SUM(L5:L23)</f>
        <v/>
      </c>
      <c r="M24" s="44">
        <f>SUM(M5:M23)</f>
        <v/>
      </c>
      <c r="N24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Fantasía</t>
        </is>
      </c>
    </row>
    <row r="2" ht="15" customHeight="1" s="24">
      <c r="A2" s="31" t="inlineStr">
        <is>
          <t>Meracho Senior · Temporada 21 · corte después de la jornada 2 (miércoles 23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Abdiel Cerrud</t>
        </is>
      </c>
      <c r="B5" s="28" t="inlineStr">
        <is>
          <t>Fantasía</t>
        </is>
      </c>
      <c r="C5" s="33" t="n">
        <v>2</v>
      </c>
      <c r="D5" s="33" t="n">
        <v>5</v>
      </c>
      <c r="E5" s="33" t="n">
        <v>3</v>
      </c>
      <c r="F5" s="33" t="n">
        <v>1</v>
      </c>
      <c r="G5" s="33" t="n">
        <v>0</v>
      </c>
      <c r="H5" s="33" t="n">
        <v>1</v>
      </c>
      <c r="I5" s="33" t="n">
        <v>4</v>
      </c>
      <c r="J5" s="36" t="n">
        <v>0.75</v>
      </c>
      <c r="K5" s="40" t="n"/>
      <c r="L5" s="33" t="n"/>
      <c r="M5" s="33" t="n"/>
      <c r="N5" s="41" t="n"/>
    </row>
    <row r="6" ht="15" customHeight="1" s="24">
      <c r="A6" s="28" t="inlineStr">
        <is>
          <t>José Terriente</t>
        </is>
      </c>
      <c r="B6" s="28" t="inlineStr">
        <is>
          <t>Fantasía</t>
        </is>
      </c>
      <c r="C6" s="33" t="n">
        <v>2</v>
      </c>
      <c r="D6" s="33" t="n">
        <v>6</v>
      </c>
      <c r="E6" s="33" t="n">
        <v>5</v>
      </c>
      <c r="F6" s="33" t="n">
        <v>2</v>
      </c>
      <c r="G6" s="33" t="n">
        <v>2</v>
      </c>
      <c r="H6" s="33" t="n">
        <v>0</v>
      </c>
      <c r="I6" s="33" t="n">
        <v>3</v>
      </c>
      <c r="J6" s="36" t="n">
        <v>1</v>
      </c>
      <c r="K6" s="40" t="n"/>
      <c r="L6" s="33" t="n"/>
      <c r="M6" s="33" t="n"/>
      <c r="N6" s="41" t="n"/>
    </row>
    <row r="7" ht="15" customHeight="1" s="24">
      <c r="A7" s="28" t="inlineStr">
        <is>
          <t>Alexis Hartman</t>
        </is>
      </c>
      <c r="B7" s="28" t="inlineStr">
        <is>
          <t>Fantasía</t>
        </is>
      </c>
      <c r="C7" s="33" t="n">
        <v>2</v>
      </c>
      <c r="D7" s="33" t="n">
        <v>6</v>
      </c>
      <c r="E7" s="33" t="n">
        <v>3</v>
      </c>
      <c r="F7" s="33" t="n">
        <v>1</v>
      </c>
      <c r="G7" s="33" t="n">
        <v>0</v>
      </c>
      <c r="H7" s="33" t="n">
        <v>0</v>
      </c>
      <c r="I7" s="33" t="n">
        <v>2</v>
      </c>
      <c r="J7" s="36" t="n">
        <v>0.5</v>
      </c>
      <c r="K7" s="40" t="n"/>
      <c r="L7" s="33" t="n"/>
      <c r="M7" s="33" t="n"/>
      <c r="N7" s="41" t="n"/>
    </row>
    <row r="8" ht="15" customHeight="1" s="24">
      <c r="A8" s="28" t="inlineStr">
        <is>
          <t>Daniel Torrealba</t>
        </is>
      </c>
      <c r="B8" s="28" t="inlineStr">
        <is>
          <t>Fantasía</t>
        </is>
      </c>
      <c r="C8" s="33" t="n">
        <v>2</v>
      </c>
      <c r="D8" s="33" t="n">
        <v>6</v>
      </c>
      <c r="E8" s="33" t="n">
        <v>2</v>
      </c>
      <c r="F8" s="33" t="n">
        <v>1</v>
      </c>
      <c r="G8" s="33" t="n">
        <v>0</v>
      </c>
      <c r="H8" s="33" t="n">
        <v>0</v>
      </c>
      <c r="I8" s="33" t="n">
        <v>2</v>
      </c>
      <c r="J8" s="36" t="n">
        <v>0.333</v>
      </c>
      <c r="K8" s="40" t="n"/>
      <c r="L8" s="33" t="n"/>
      <c r="M8" s="33" t="n"/>
      <c r="N8" s="41" t="n"/>
    </row>
    <row r="9" ht="15" customHeight="1" s="24">
      <c r="A9" s="28" t="inlineStr">
        <is>
          <t>Abel Castillo</t>
        </is>
      </c>
      <c r="B9" s="28" t="inlineStr">
        <is>
          <t>Fantasía</t>
        </is>
      </c>
      <c r="C9" s="33" t="n">
        <v>1</v>
      </c>
      <c r="D9" s="33" t="n">
        <v>3</v>
      </c>
      <c r="E9" s="33" t="n">
        <v>1</v>
      </c>
      <c r="F9" s="33" t="n">
        <v>0</v>
      </c>
      <c r="G9" s="33" t="n">
        <v>0</v>
      </c>
      <c r="H9" s="33" t="n">
        <v>0</v>
      </c>
      <c r="I9" s="33" t="n">
        <v>2</v>
      </c>
      <c r="J9" s="36" t="n">
        <v>0.333</v>
      </c>
      <c r="K9" s="40" t="n"/>
      <c r="L9" s="33" t="n"/>
      <c r="M9" s="33" t="n"/>
      <c r="N9" s="41" t="n"/>
    </row>
    <row r="10" ht="15" customHeight="1" s="24">
      <c r="A10" s="28" t="inlineStr">
        <is>
          <t>Abi Vargas</t>
        </is>
      </c>
      <c r="B10" s="28" t="inlineStr">
        <is>
          <t>Fantasía</t>
        </is>
      </c>
      <c r="C10" s="33" t="n">
        <v>1</v>
      </c>
      <c r="D10" s="33" t="n">
        <v>3</v>
      </c>
      <c r="E10" s="33" t="n">
        <v>1</v>
      </c>
      <c r="F10" s="33" t="n">
        <v>0</v>
      </c>
      <c r="G10" s="33" t="n">
        <v>1</v>
      </c>
      <c r="H10" s="33" t="n">
        <v>0</v>
      </c>
      <c r="I10" s="33" t="n">
        <v>2</v>
      </c>
      <c r="J10" s="36" t="n">
        <v>0.333</v>
      </c>
      <c r="K10" s="40" t="n"/>
      <c r="L10" s="33" t="n"/>
      <c r="M10" s="33" t="n"/>
      <c r="N10" s="41" t="n"/>
    </row>
    <row r="11" ht="15" customHeight="1" s="24">
      <c r="A11" s="28" t="inlineStr">
        <is>
          <t>Kenny Van Gómez</t>
        </is>
      </c>
      <c r="B11" s="28" t="inlineStr">
        <is>
          <t>Fantasía</t>
        </is>
      </c>
      <c r="C11" s="33" t="n">
        <v>2</v>
      </c>
      <c r="D11" s="33" t="n">
        <v>6</v>
      </c>
      <c r="E11" s="33" t="n">
        <v>3</v>
      </c>
      <c r="F11" s="33" t="n">
        <v>0</v>
      </c>
      <c r="G11" s="33" t="n">
        <v>1</v>
      </c>
      <c r="H11" s="33" t="n">
        <v>0</v>
      </c>
      <c r="I11" s="33" t="n">
        <v>0</v>
      </c>
      <c r="J11" s="36" t="n">
        <v>0.5</v>
      </c>
      <c r="K11" s="40" t="n"/>
      <c r="L11" s="33" t="n"/>
      <c r="M11" s="33" t="n"/>
      <c r="N11" s="41" t="n"/>
    </row>
    <row r="12" ht="15" customHeight="1" s="24">
      <c r="A12" s="28" t="inlineStr">
        <is>
          <t>José Luis Frías</t>
        </is>
      </c>
      <c r="B12" s="28" t="inlineStr">
        <is>
          <t>Fantasía</t>
        </is>
      </c>
      <c r="C12" s="33" t="n">
        <v>1</v>
      </c>
      <c r="D12" s="33" t="n">
        <v>3</v>
      </c>
      <c r="E12" s="33" t="n">
        <v>2</v>
      </c>
      <c r="F12" s="33" t="n">
        <v>0</v>
      </c>
      <c r="G12" s="33" t="n">
        <v>0</v>
      </c>
      <c r="H12" s="33" t="n">
        <v>0</v>
      </c>
      <c r="I12" s="33" t="n">
        <v>0</v>
      </c>
      <c r="J12" s="36" t="n">
        <v>0.667</v>
      </c>
      <c r="K12" s="40" t="n"/>
      <c r="L12" s="33" t="n"/>
      <c r="M12" s="33" t="n"/>
      <c r="N12" s="41" t="n"/>
    </row>
    <row r="13" ht="15" customHeight="1" s="24">
      <c r="A13" s="28" t="inlineStr">
        <is>
          <t>José Salas</t>
        </is>
      </c>
      <c r="B13" s="28" t="inlineStr">
        <is>
          <t>Fantasía</t>
        </is>
      </c>
      <c r="C13" s="33" t="n">
        <v>2</v>
      </c>
      <c r="D13" s="33" t="n">
        <v>3</v>
      </c>
      <c r="E13" s="33" t="n">
        <v>2</v>
      </c>
      <c r="F13" s="33" t="n">
        <v>0</v>
      </c>
      <c r="G13" s="33" t="n">
        <v>0</v>
      </c>
      <c r="H13" s="33" t="n">
        <v>0</v>
      </c>
      <c r="I13" s="33" t="n">
        <v>0</v>
      </c>
      <c r="J13" s="36" t="n">
        <v>0.667</v>
      </c>
      <c r="K13" s="40" t="n"/>
      <c r="L13" s="33" t="n"/>
      <c r="M13" s="33" t="n"/>
      <c r="N13" s="41" t="n"/>
    </row>
    <row r="14" ht="15" customHeight="1" s="24">
      <c r="A14" s="28" t="inlineStr">
        <is>
          <t>Eric Yim</t>
        </is>
      </c>
      <c r="B14" s="28" t="inlineStr">
        <is>
          <t>Fantasía</t>
        </is>
      </c>
      <c r="C14" s="33" t="n">
        <v>2</v>
      </c>
      <c r="D14" s="33" t="n">
        <v>4</v>
      </c>
      <c r="E14" s="33" t="n">
        <v>2</v>
      </c>
      <c r="F14" s="33" t="n">
        <v>0</v>
      </c>
      <c r="G14" s="33" t="n">
        <v>0</v>
      </c>
      <c r="H14" s="33" t="n">
        <v>0</v>
      </c>
      <c r="I14" s="33" t="n">
        <v>0</v>
      </c>
      <c r="J14" s="36" t="n">
        <v>0.5</v>
      </c>
      <c r="K14" s="40" t="n">
        <v>2.2</v>
      </c>
      <c r="L14" s="33" t="n">
        <v>0</v>
      </c>
      <c r="M14" s="33" t="n">
        <v>0</v>
      </c>
      <c r="N14" s="41" t="n">
        <v>2.62</v>
      </c>
    </row>
    <row r="15" ht="15" customHeight="1" s="24">
      <c r="A15" s="28" t="inlineStr">
        <is>
          <t>Héctor Vergara</t>
        </is>
      </c>
      <c r="B15" s="28" t="inlineStr">
        <is>
          <t>Fantasía</t>
        </is>
      </c>
      <c r="C15" s="33" t="n">
        <v>1</v>
      </c>
      <c r="D15" s="33" t="n">
        <v>2</v>
      </c>
      <c r="E15" s="33" t="n">
        <v>1</v>
      </c>
      <c r="F15" s="33" t="n">
        <v>0</v>
      </c>
      <c r="G15" s="33" t="n">
        <v>0</v>
      </c>
      <c r="H15" s="33" t="n">
        <v>0</v>
      </c>
      <c r="I15" s="33" t="n">
        <v>0</v>
      </c>
      <c r="J15" s="36" t="n">
        <v>0.5</v>
      </c>
      <c r="K15" s="40" t="n"/>
      <c r="L15" s="33" t="n"/>
      <c r="M15" s="33" t="n"/>
      <c r="N15" s="41" t="n"/>
    </row>
    <row r="16" ht="15" customHeight="1" s="24">
      <c r="A16" s="28" t="inlineStr">
        <is>
          <t>William Rodríguez</t>
        </is>
      </c>
      <c r="B16" s="28" t="inlineStr">
        <is>
          <t>Fantasía</t>
        </is>
      </c>
      <c r="C16" s="33" t="n">
        <v>2</v>
      </c>
      <c r="D16" s="33" t="n">
        <v>4</v>
      </c>
      <c r="E16" s="33" t="n">
        <v>1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0.25</v>
      </c>
      <c r="K16" s="40" t="n"/>
      <c r="L16" s="33" t="n"/>
      <c r="M16" s="33" t="n"/>
      <c r="N16" s="41" t="n"/>
    </row>
    <row r="17" ht="15" customHeight="1" s="24">
      <c r="A17" s="28" t="inlineStr">
        <is>
          <t>Johnatan Santos</t>
        </is>
      </c>
      <c r="B17" s="28" t="inlineStr">
        <is>
          <t>Fantasía</t>
        </is>
      </c>
      <c r="C17" s="33" t="n">
        <v>2</v>
      </c>
      <c r="D17" s="33" t="n">
        <v>6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>
        <v>0</v>
      </c>
      <c r="K17" s="40" t="n"/>
      <c r="L17" s="33" t="n"/>
      <c r="M17" s="33" t="n"/>
      <c r="N17" s="41" t="n"/>
    </row>
    <row r="18" ht="15" customHeight="1" s="24">
      <c r="A18" s="28" t="inlineStr">
        <is>
          <t>José Camacho</t>
        </is>
      </c>
      <c r="B18" s="28" t="inlineStr">
        <is>
          <t>Fantasía</t>
        </is>
      </c>
      <c r="C18" s="33" t="n">
        <v>1</v>
      </c>
      <c r="D18" s="33" t="n">
        <v>3</v>
      </c>
      <c r="E18" s="33" t="n">
        <v>0</v>
      </c>
      <c r="F18" s="33" t="n">
        <v>0</v>
      </c>
      <c r="G18" s="33" t="n">
        <v>0</v>
      </c>
      <c r="H18" s="33" t="n">
        <v>0</v>
      </c>
      <c r="I18" s="33" t="n">
        <v>0</v>
      </c>
      <c r="J18" s="36" t="n">
        <v>0</v>
      </c>
      <c r="K18" s="40" t="n"/>
      <c r="L18" s="33" t="n"/>
      <c r="M18" s="33" t="n"/>
      <c r="N18" s="41" t="n"/>
    </row>
    <row r="19" ht="15" customHeight="1" s="24">
      <c r="A19" s="28" t="inlineStr">
        <is>
          <t>Jorge Batista</t>
        </is>
      </c>
      <c r="B19" s="28" t="inlineStr">
        <is>
          <t>Fantasía</t>
        </is>
      </c>
      <c r="C19" s="33" t="n">
        <v>2</v>
      </c>
      <c r="D19" s="33" t="n">
        <v>0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/>
      <c r="K19" s="40" t="n">
        <v>7.2</v>
      </c>
      <c r="L19" s="33" t="n">
        <v>0</v>
      </c>
      <c r="M19" s="33" t="n">
        <v>0</v>
      </c>
      <c r="N19" s="41" t="n">
        <v>11.87</v>
      </c>
    </row>
    <row r="20">
      <c r="A20" s="42" t="inlineStr">
        <is>
          <t>Total del equipo</t>
        </is>
      </c>
      <c r="B20" s="43" t="n"/>
      <c r="C20" s="43" t="n"/>
      <c r="D20" s="44">
        <f>SUM(D5:D19)</f>
        <v/>
      </c>
      <c r="E20" s="44">
        <f>SUM(E5:E19)</f>
        <v/>
      </c>
      <c r="F20" s="44">
        <f>SUM(F5:F19)</f>
        <v/>
      </c>
      <c r="G20" s="44">
        <f>SUM(G5:G19)</f>
        <v/>
      </c>
      <c r="H20" s="44">
        <f>SUM(H5:H19)</f>
        <v/>
      </c>
      <c r="I20" s="44">
        <f>SUM(I5:I19)</f>
        <v/>
      </c>
      <c r="J20" s="43" t="n"/>
      <c r="K20" s="45" t="n">
        <v>10.1</v>
      </c>
      <c r="L20" s="44">
        <f>SUM(L5:L19)</f>
        <v/>
      </c>
      <c r="M20" s="44">
        <f>SUM(M5:M19)</f>
        <v/>
      </c>
      <c r="N20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Colegio Javier</t>
        </is>
      </c>
    </row>
    <row r="2" ht="15" customHeight="1" s="24">
      <c r="A2" s="31" t="inlineStr">
        <is>
          <t>Meracho Senior · Temporada 21 · corte después de la jornada 2 (miércoles 23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Rogelio Chávez</t>
        </is>
      </c>
      <c r="B5" s="28" t="inlineStr">
        <is>
          <t>Colegio Javier</t>
        </is>
      </c>
      <c r="C5" s="33" t="n">
        <v>2</v>
      </c>
      <c r="D5" s="33" t="n">
        <v>6</v>
      </c>
      <c r="E5" s="33" t="n">
        <v>4</v>
      </c>
      <c r="F5" s="33" t="n">
        <v>2</v>
      </c>
      <c r="G5" s="33" t="n">
        <v>1</v>
      </c>
      <c r="H5" s="33" t="n">
        <v>0</v>
      </c>
      <c r="I5" s="33" t="n">
        <v>5</v>
      </c>
      <c r="J5" s="36" t="n">
        <v>1</v>
      </c>
      <c r="K5" s="40" t="n"/>
      <c r="L5" s="33" t="n"/>
      <c r="M5" s="33" t="n"/>
      <c r="N5" s="41" t="n"/>
    </row>
    <row r="6" ht="15" customHeight="1" s="24">
      <c r="A6" s="28" t="inlineStr">
        <is>
          <t>Jefry Hernandez</t>
        </is>
      </c>
      <c r="B6" s="28" t="inlineStr">
        <is>
          <t>Colegio Javier</t>
        </is>
      </c>
      <c r="C6" s="33" t="n">
        <v>2</v>
      </c>
      <c r="D6" s="33" t="n">
        <v>5</v>
      </c>
      <c r="E6" s="33" t="n">
        <v>3</v>
      </c>
      <c r="F6" s="33" t="n">
        <v>0</v>
      </c>
      <c r="G6" s="33" t="n">
        <v>0</v>
      </c>
      <c r="H6" s="33" t="n">
        <v>0</v>
      </c>
      <c r="I6" s="33" t="n">
        <v>3</v>
      </c>
      <c r="J6" s="36" t="n">
        <v>0.75</v>
      </c>
      <c r="K6" s="40" t="n"/>
      <c r="L6" s="33" t="n"/>
      <c r="M6" s="33" t="n"/>
      <c r="N6" s="41" t="n"/>
    </row>
    <row r="7" ht="15" customHeight="1" s="24">
      <c r="A7" s="28" t="inlineStr">
        <is>
          <t>Félix Robles</t>
        </is>
      </c>
      <c r="B7" s="28" t="inlineStr">
        <is>
          <t>Colegio Javier</t>
        </is>
      </c>
      <c r="C7" s="33" t="n">
        <v>2</v>
      </c>
      <c r="D7" s="33" t="n">
        <v>4</v>
      </c>
      <c r="E7" s="33" t="n">
        <v>2</v>
      </c>
      <c r="F7" s="33" t="n">
        <v>0</v>
      </c>
      <c r="G7" s="33" t="n">
        <v>0</v>
      </c>
      <c r="H7" s="33" t="n">
        <v>0</v>
      </c>
      <c r="I7" s="33" t="n">
        <v>3</v>
      </c>
      <c r="J7" s="36" t="n">
        <v>0.5</v>
      </c>
      <c r="K7" s="40" t="n"/>
      <c r="L7" s="33" t="n"/>
      <c r="M7" s="33" t="n"/>
      <c r="N7" s="41" t="n"/>
    </row>
    <row r="8" ht="15" customHeight="1" s="24">
      <c r="A8" s="28" t="inlineStr">
        <is>
          <t>Erick Valdivieso</t>
        </is>
      </c>
      <c r="B8" s="28" t="inlineStr">
        <is>
          <t>Colegio Javier</t>
        </is>
      </c>
      <c r="C8" s="33" t="n">
        <v>2</v>
      </c>
      <c r="D8" s="33" t="n">
        <v>4</v>
      </c>
      <c r="E8" s="33" t="n">
        <v>1</v>
      </c>
      <c r="F8" s="33" t="n">
        <v>1</v>
      </c>
      <c r="G8" s="33" t="n">
        <v>0</v>
      </c>
      <c r="H8" s="33" t="n">
        <v>0</v>
      </c>
      <c r="I8" s="33" t="n">
        <v>3</v>
      </c>
      <c r="J8" s="36" t="n">
        <v>0.333</v>
      </c>
      <c r="K8" s="40" t="n"/>
      <c r="L8" s="33" t="n"/>
      <c r="M8" s="33" t="n"/>
      <c r="N8" s="41" t="n"/>
    </row>
    <row r="9" ht="15" customHeight="1" s="24">
      <c r="A9" s="28" t="inlineStr">
        <is>
          <t>Eduardo Valarezo</t>
        </is>
      </c>
      <c r="B9" s="28" t="inlineStr">
        <is>
          <t>Colegio Javier</t>
        </is>
      </c>
      <c r="C9" s="33" t="n">
        <v>1</v>
      </c>
      <c r="D9" s="33" t="n">
        <v>2</v>
      </c>
      <c r="E9" s="33" t="n">
        <v>0</v>
      </c>
      <c r="F9" s="33" t="n">
        <v>0</v>
      </c>
      <c r="G9" s="33" t="n">
        <v>0</v>
      </c>
      <c r="H9" s="33" t="n">
        <v>0</v>
      </c>
      <c r="I9" s="33" t="n">
        <v>3</v>
      </c>
      <c r="J9" s="36" t="n">
        <v>0</v>
      </c>
      <c r="K9" s="40" t="n"/>
      <c r="L9" s="33" t="n"/>
      <c r="M9" s="33" t="n"/>
      <c r="N9" s="41" t="n"/>
    </row>
    <row r="10" ht="15" customHeight="1" s="24">
      <c r="A10" s="28" t="inlineStr">
        <is>
          <t>Javier López</t>
        </is>
      </c>
      <c r="B10" s="28" t="inlineStr">
        <is>
          <t>Colegio Javier</t>
        </is>
      </c>
      <c r="C10" s="33" t="n">
        <v>2</v>
      </c>
      <c r="D10" s="33" t="n">
        <v>6</v>
      </c>
      <c r="E10" s="33" t="n">
        <v>5</v>
      </c>
      <c r="F10" s="33" t="n">
        <v>2</v>
      </c>
      <c r="G10" s="33" t="n">
        <v>0</v>
      </c>
      <c r="H10" s="33" t="n">
        <v>0</v>
      </c>
      <c r="I10" s="33" t="n">
        <v>1</v>
      </c>
      <c r="J10" s="36" t="n">
        <v>0.833</v>
      </c>
      <c r="K10" s="40" t="n"/>
      <c r="L10" s="33" t="n"/>
      <c r="M10" s="33" t="n"/>
      <c r="N10" s="41" t="n"/>
    </row>
    <row r="11" ht="15" customHeight="1" s="24">
      <c r="A11" s="28" t="inlineStr">
        <is>
          <t>Evair Montenegro</t>
        </is>
      </c>
      <c r="B11" s="28" t="inlineStr">
        <is>
          <t>Colegio Javier</t>
        </is>
      </c>
      <c r="C11" s="33" t="n">
        <v>2</v>
      </c>
      <c r="D11" s="33" t="n">
        <v>5</v>
      </c>
      <c r="E11" s="33" t="n">
        <v>4</v>
      </c>
      <c r="F11" s="33" t="n">
        <v>2</v>
      </c>
      <c r="G11" s="33" t="n">
        <v>0</v>
      </c>
      <c r="H11" s="33" t="n">
        <v>0</v>
      </c>
      <c r="I11" s="33" t="n">
        <v>1</v>
      </c>
      <c r="J11" s="36" t="n">
        <v>0.8</v>
      </c>
      <c r="K11" s="40" t="n"/>
      <c r="L11" s="33" t="n"/>
      <c r="M11" s="33" t="n"/>
      <c r="N11" s="41" t="n"/>
    </row>
    <row r="12" ht="15" customHeight="1" s="24">
      <c r="A12" s="28" t="inlineStr">
        <is>
          <t>Alejandro Jaén</t>
        </is>
      </c>
      <c r="B12" s="28" t="inlineStr">
        <is>
          <t>Colegio Javier</t>
        </is>
      </c>
      <c r="C12" s="33" t="n">
        <v>2</v>
      </c>
      <c r="D12" s="33" t="n">
        <v>6</v>
      </c>
      <c r="E12" s="33" t="n">
        <v>3</v>
      </c>
      <c r="F12" s="33" t="n">
        <v>0</v>
      </c>
      <c r="G12" s="33" t="n">
        <v>0</v>
      </c>
      <c r="H12" s="33" t="n">
        <v>0</v>
      </c>
      <c r="I12" s="33" t="n">
        <v>1</v>
      </c>
      <c r="J12" s="36" t="n">
        <v>0.75</v>
      </c>
      <c r="K12" s="40" t="n"/>
      <c r="L12" s="33" t="n"/>
      <c r="M12" s="33" t="n"/>
      <c r="N12" s="41" t="n"/>
    </row>
    <row r="13" ht="15" customHeight="1" s="24">
      <c r="A13" s="28" t="inlineStr">
        <is>
          <t>Felix Alveo</t>
        </is>
      </c>
      <c r="B13" s="28" t="inlineStr">
        <is>
          <t>Colegio Javier</t>
        </is>
      </c>
      <c r="C13" s="33" t="n">
        <v>2</v>
      </c>
      <c r="D13" s="33" t="n">
        <v>3</v>
      </c>
      <c r="E13" s="33" t="n">
        <v>2</v>
      </c>
      <c r="F13" s="33" t="n">
        <v>2</v>
      </c>
      <c r="G13" s="33" t="n">
        <v>0</v>
      </c>
      <c r="H13" s="33" t="n">
        <v>0</v>
      </c>
      <c r="I13" s="33" t="n">
        <v>1</v>
      </c>
      <c r="J13" s="36" t="n">
        <v>0.667</v>
      </c>
      <c r="K13" s="40" t="n">
        <v>9</v>
      </c>
      <c r="L13" s="33" t="n">
        <v>1</v>
      </c>
      <c r="M13" s="33" t="n">
        <v>0</v>
      </c>
      <c r="N13" s="41" t="n">
        <v>10.89</v>
      </c>
    </row>
    <row r="14" ht="15" customHeight="1" s="24">
      <c r="A14" s="28" t="inlineStr">
        <is>
          <t>Jorge León</t>
        </is>
      </c>
      <c r="B14" s="28" t="inlineStr">
        <is>
          <t>Colegio Javier</t>
        </is>
      </c>
      <c r="C14" s="33" t="n">
        <v>1</v>
      </c>
      <c r="D14" s="33" t="n">
        <v>3</v>
      </c>
      <c r="E14" s="33" t="n">
        <v>1</v>
      </c>
      <c r="F14" s="33" t="n">
        <v>1</v>
      </c>
      <c r="G14" s="33" t="n">
        <v>0</v>
      </c>
      <c r="H14" s="33" t="n">
        <v>0</v>
      </c>
      <c r="I14" s="33" t="n">
        <v>1</v>
      </c>
      <c r="J14" s="36" t="n">
        <v>0.5</v>
      </c>
      <c r="K14" s="40" t="n"/>
      <c r="L14" s="33" t="n"/>
      <c r="M14" s="33" t="n"/>
      <c r="N14" s="41" t="n"/>
    </row>
    <row r="15" ht="15" customHeight="1" s="24">
      <c r="A15" s="28" t="inlineStr">
        <is>
          <t>Gabriel Riquelme</t>
        </is>
      </c>
      <c r="B15" s="28" t="inlineStr">
        <is>
          <t>Colegio Javier</t>
        </is>
      </c>
      <c r="C15" s="33" t="n">
        <v>1</v>
      </c>
      <c r="D15" s="33" t="n">
        <v>4</v>
      </c>
      <c r="E15" s="33" t="n">
        <v>1</v>
      </c>
      <c r="F15" s="33" t="n">
        <v>0</v>
      </c>
      <c r="G15" s="33" t="n">
        <v>0</v>
      </c>
      <c r="H15" s="33" t="n">
        <v>0</v>
      </c>
      <c r="I15" s="33" t="n">
        <v>1</v>
      </c>
      <c r="J15" s="36" t="n">
        <v>0.333</v>
      </c>
      <c r="K15" s="40" t="n"/>
      <c r="L15" s="33" t="n"/>
      <c r="M15" s="33" t="n"/>
      <c r="N15" s="41" t="n"/>
    </row>
    <row r="16" ht="15" customHeight="1" s="24">
      <c r="A16" s="28" t="inlineStr">
        <is>
          <t>Jose Lee</t>
        </is>
      </c>
      <c r="B16" s="28" t="inlineStr">
        <is>
          <t>Colegio Javier</t>
        </is>
      </c>
      <c r="C16" s="33" t="n">
        <v>2</v>
      </c>
      <c r="D16" s="33" t="n">
        <v>4</v>
      </c>
      <c r="E16" s="33" t="n">
        <v>1</v>
      </c>
      <c r="F16" s="33" t="n">
        <v>0</v>
      </c>
      <c r="G16" s="33" t="n">
        <v>0</v>
      </c>
      <c r="H16" s="33" t="n">
        <v>0</v>
      </c>
      <c r="I16" s="33" t="n">
        <v>1</v>
      </c>
      <c r="J16" s="36" t="n">
        <v>0.333</v>
      </c>
      <c r="K16" s="40" t="n"/>
      <c r="L16" s="33" t="n"/>
      <c r="M16" s="33" t="n"/>
      <c r="N16" s="41" t="n"/>
    </row>
    <row r="17" ht="15" customHeight="1" s="24">
      <c r="A17" s="28" t="inlineStr">
        <is>
          <t>Jose Medina</t>
        </is>
      </c>
      <c r="B17" s="28" t="inlineStr">
        <is>
          <t>Colegio Javier</t>
        </is>
      </c>
      <c r="C17" s="33" t="n">
        <v>2</v>
      </c>
      <c r="D17" s="33" t="n">
        <v>4</v>
      </c>
      <c r="E17" s="33" t="n">
        <v>2</v>
      </c>
      <c r="F17" s="33" t="n">
        <v>1</v>
      </c>
      <c r="G17" s="33" t="n">
        <v>0</v>
      </c>
      <c r="H17" s="33" t="n">
        <v>0</v>
      </c>
      <c r="I17" s="33" t="n">
        <v>0</v>
      </c>
      <c r="J17" s="36" t="n">
        <v>0.5</v>
      </c>
      <c r="K17" s="40" t="n"/>
      <c r="L17" s="33" t="n"/>
      <c r="M17" s="33" t="n"/>
      <c r="N17" s="41" t="n"/>
    </row>
    <row r="18" ht="15" customHeight="1" s="24">
      <c r="A18" s="28" t="inlineStr">
        <is>
          <t>Juanra Tam</t>
        </is>
      </c>
      <c r="B18" s="28" t="inlineStr">
        <is>
          <t>Colegio Javier</t>
        </is>
      </c>
      <c r="C18" s="33" t="n">
        <v>2</v>
      </c>
      <c r="D18" s="33" t="n">
        <v>4</v>
      </c>
      <c r="E18" s="33" t="n">
        <v>1</v>
      </c>
      <c r="F18" s="33" t="n">
        <v>1</v>
      </c>
      <c r="G18" s="33" t="n">
        <v>0</v>
      </c>
      <c r="H18" s="33" t="n">
        <v>0</v>
      </c>
      <c r="I18" s="33" t="n">
        <v>0</v>
      </c>
      <c r="J18" s="36" t="n">
        <v>0.333</v>
      </c>
      <c r="K18" s="40" t="n"/>
      <c r="L18" s="33" t="n"/>
      <c r="M18" s="33" t="n"/>
      <c r="N18" s="41" t="n"/>
    </row>
    <row r="19" ht="15" customHeight="1" s="24">
      <c r="A19" s="28" t="inlineStr">
        <is>
          <t>Juan Carlos Bonilla</t>
        </is>
      </c>
      <c r="B19" s="28" t="inlineStr">
        <is>
          <t>Colegio Javier</t>
        </is>
      </c>
      <c r="C19" s="33" t="n">
        <v>2</v>
      </c>
      <c r="D19" s="33" t="n">
        <v>7</v>
      </c>
      <c r="E19" s="33" t="n">
        <v>1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>
        <v>0.167</v>
      </c>
      <c r="K19" s="40" t="n"/>
      <c r="L19" s="33" t="n"/>
      <c r="M19" s="33" t="n"/>
      <c r="N19" s="41" t="n"/>
    </row>
    <row r="20" ht="15" customHeight="1" s="24">
      <c r="A20" s="28" t="inlineStr">
        <is>
          <t>José Moreno</t>
        </is>
      </c>
      <c r="B20" s="28" t="inlineStr">
        <is>
          <t>Colegio Javier</t>
        </is>
      </c>
      <c r="C20" s="33" t="n">
        <v>1</v>
      </c>
      <c r="D20" s="33" t="n">
        <v>1</v>
      </c>
      <c r="E20" s="33" t="n">
        <v>0</v>
      </c>
      <c r="F20" s="33" t="n">
        <v>0</v>
      </c>
      <c r="G20" s="33" t="n">
        <v>0</v>
      </c>
      <c r="H20" s="33" t="n">
        <v>0</v>
      </c>
      <c r="I20" s="33" t="n">
        <v>0</v>
      </c>
      <c r="J20" s="36" t="n">
        <v>0</v>
      </c>
      <c r="K20" s="40" t="n"/>
      <c r="L20" s="33" t="n"/>
      <c r="M20" s="33" t="n"/>
      <c r="N20" s="41" t="n"/>
    </row>
    <row r="21">
      <c r="A21" s="28" t="inlineStr">
        <is>
          <t>Ricky Iván Cumberbatch</t>
        </is>
      </c>
      <c r="B21" s="28" t="inlineStr">
        <is>
          <t>Colegio Javier</t>
        </is>
      </c>
      <c r="C21" s="33" t="n">
        <v>1</v>
      </c>
      <c r="D21" s="33" t="n">
        <v>0</v>
      </c>
      <c r="E21" s="33" t="n">
        <v>0</v>
      </c>
      <c r="F21" s="33" t="n">
        <v>0</v>
      </c>
      <c r="G21" s="33" t="n">
        <v>0</v>
      </c>
      <c r="H21" s="33" t="n">
        <v>0</v>
      </c>
      <c r="I21" s="33" t="n">
        <v>0</v>
      </c>
      <c r="J21" s="36" t="n"/>
      <c r="K21" s="40" t="n">
        <v>1</v>
      </c>
      <c r="L21" s="33" t="n">
        <v>0</v>
      </c>
      <c r="M21" s="33" t="n">
        <v>0</v>
      </c>
      <c r="N21" s="41" t="n">
        <v>7</v>
      </c>
    </row>
    <row r="22">
      <c r="A22" s="42" t="inlineStr">
        <is>
          <t>Total del equipo</t>
        </is>
      </c>
      <c r="B22" s="43" t="n"/>
      <c r="C22" s="43" t="n"/>
      <c r="D22" s="44">
        <f>SUM(D5:D21)</f>
        <v/>
      </c>
      <c r="E22" s="44">
        <f>SUM(E5:E21)</f>
        <v/>
      </c>
      <c r="F22" s="44">
        <f>SUM(F5:F21)</f>
        <v/>
      </c>
      <c r="G22" s="44">
        <f>SUM(G5:G21)</f>
        <v/>
      </c>
      <c r="H22" s="44">
        <f>SUM(H5:H21)</f>
        <v/>
      </c>
      <c r="I22" s="44">
        <f>SUM(I5:I21)</f>
        <v/>
      </c>
      <c r="J22" s="43" t="n"/>
      <c r="K22" s="45" t="n">
        <v>10</v>
      </c>
      <c r="L22" s="44">
        <f>SUM(L5:L21)</f>
        <v/>
      </c>
      <c r="M22" s="44">
        <f>SUM(M5:M21)</f>
        <v/>
      </c>
      <c r="N22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2026-09-11T13:47:16Z</dcterms:created>
  <dcterms:modified xmlns:dcterms="http://purl.org/dc/terms/" xmlns:xsi="http://www.w3.org/2001/XMLSchema-instance" xsi:type="dcterms:W3CDTF">2026-09-24T13:11:51Z</dcterms:modified>
  <cp:revision>0</cp:revision>
</cp:coreProperties>
</file>