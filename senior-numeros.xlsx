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Team Trampa" sheetId="4" state="visible" r:id="rId6"/>
    <sheet name="White Lions" sheetId="5" state="visible" r:id="rId7"/>
    <sheet name="Fantasía" sheetId="6" state="visible" r:id="rId8"/>
    <sheet name="Colegio Javie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<sst xmlns="http://schemas.openxmlformats.org/spreadsheetml/2006/main" count="294" uniqueCount="140">
  <si>
    <t xml:space="preserve">Números del Meracho Senior · La Mella League</t>
  </si>
  <si>
    <t xml:space="preserve">Liga</t>
  </si>
  <si>
    <t xml:space="preserve">Meracho Senior · Temporada 21 · miércoles en el Complejo Deportivo del MEF, Albrook</t>
  </si>
  <si>
    <t xml:space="preserve">Corte</t>
  </si>
  <si>
    <t xml:space="preserve">Después de la jornada 3 (miércoles 30 de septiembre de 2026) · fin de la fase de grupos</t>
  </si>
  <si>
    <t xml:space="preserve">Desarrollo</t>
  </si>
  <si>
    <t xml:space="preserve">Desarrollo único para La Mella League y Liga Deportiva de Albrook</t>
  </si>
  <si>
    <t xml:space="preserve">Abreviaturas</t>
  </si>
  <si>
    <t xml:space="preserve">JJ</t>
  </si>
  <si>
    <t xml:space="preserve">Juegos jugados</t>
  </si>
  <si>
    <t xml:space="preserve">AP</t>
  </si>
  <si>
    <t xml:space="preserve">Apariciones al plato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</si>
  <si>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</si>
  <si>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</si>
  <si>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</si>
  <si>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</si>
  <si>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</si>
  <si>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</si>
  <si>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</si>
  <si>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</si>
  <si>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</si>
  <si>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</si>
  <si>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</si>
  <si>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</si>
  <si>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</si>
  <si>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</si>
  <si>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</si>
  <si>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</si>
  <si>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</si>
  <si>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</si>
  <si>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</si>
  <si>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</t>
  </si>
  <si>
    <t xml:space="preserve">Página</t>
  </si>
  <si>
    <t xml:space="preserve">lamellaleague.github.io · calendarios, tablas y números de todas las ligas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</si>
  <si>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</si>
  <si>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</si>
  <si>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</si>
  <si>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</si>
  <si>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</si>
  <si>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</si>
  <si>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</si>
  <si>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</si>
  <si>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</si>
  <si>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</si>
  <si>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1</t>
  </si>
  <si>
    <t xml:space="preserve">Team Trampa</t>
  </si>
  <si>
    <t xml:space="preserve">2</t>
  </si>
  <si>
    <t xml:space="preserve">White Lions</t>
  </si>
  <si>
    <t xml:space="preserve">3</t>
  </si>
  <si>
    <t xml:space="preserve">Colegio Javier</t>
  </si>
  <si>
    <t xml:space="preserve">4</t>
  </si>
  <si>
    <t xml:space="preserve">Fantasía</t>
  </si>
  <si>
    <t xml:space="preserve">Fin de la fase de grupos (jornada 3): sin empates en la tabla, no hace falta desempate. Semifinales del miércoles 7 de octubre: 7:30 Fantasía (4.º) en casa de Team Trampa (1.º) · 9:00 Colegio Javier (3.º) en casa de White Lions (2.º).</t>
  </si>
  <si>
    <t xml:space="preserve">Resultados</t>
  </si>
  <si>
    <t xml:space="preserve">Marcador final de cada juego.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</si>
  <si>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</si>
  <si>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</si>
  <si>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</si>
  <si>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</si>
  <si>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</si>
  <si>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</si>
  <si>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</si>
  <si>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mié 16 sep</t>
  </si>
  <si>
    <t xml:space="preserve">7:30 pm</t>
  </si>
  <si>
    <t xml:space="preserve">9:00 pm</t>
  </si>
  <si>
    <t xml:space="preserve">mié 23 sep</t>
  </si>
  <si>
    <t xml:space="preserve">mié 30 sep</t>
  </si>
  <si>
    <t xml:space="preserve">Meracho Senior · Temporada 21 · corte después de la jornada 3 (miércoles 30 sep 2026) · fin de la fase de grupos</t>
  </si>
  <si>
    <t xml:space="preserve">Jugador</t>
  </si>
  <si>
    <t xml:space="preserve">Angel Rodriguez</t>
  </si>
  <si>
    <t xml:space="preserve">Luis Aponte</t>
  </si>
  <si>
    <t xml:space="preserve">Jhon Brenan</t>
  </si>
  <si>
    <t xml:space="preserve">Oscar Lopez</t>
  </si>
  <si>
    <t xml:space="preserve">Erick Zarate</t>
  </si>
  <si>
    <t xml:space="preserve">Oscar Felibert</t>
  </si>
  <si>
    <t xml:space="preserve">Luis Falcon</t>
  </si>
  <si>
    <t xml:space="preserve">Jair Gonzalez</t>
  </si>
  <si>
    <t xml:space="preserve">Jair Best</t>
  </si>
  <si>
    <t xml:space="preserve">Jorge Chevez</t>
  </si>
  <si>
    <t xml:space="preserve">Virgilio Santos</t>
  </si>
  <si>
    <t xml:space="preserve">Josue Vega</t>
  </si>
  <si>
    <t xml:space="preserve">Carlos Holder</t>
  </si>
  <si>
    <t xml:space="preserve">Micky Sanchez</t>
  </si>
  <si>
    <t xml:space="preserve">Oscar De Leon</t>
  </si>
  <si>
    <t xml:space="preserve">Ricardo De Hermoso</t>
  </si>
  <si>
    <t xml:space="preserve">Roberto Salas</t>
  </si>
  <si>
    <t xml:space="preserve">Luis Casis</t>
  </si>
  <si>
    <t xml:space="preserve">Andy Bravo</t>
  </si>
  <si>
    <t xml:space="preserve">Oliver Rubio</t>
  </si>
  <si>
    <t xml:space="preserve">Jose Acevedo</t>
  </si>
  <si>
    <t xml:space="preserve">Edwin Lopez</t>
  </si>
  <si>
    <t xml:space="preserve">Pablo Duran</t>
  </si>
  <si>
    <t xml:space="preserve">Jossue Castillo</t>
  </si>
  <si>
    <t xml:space="preserve">Emanuel Diaz</t>
  </si>
  <si>
    <t xml:space="preserve">Gabriel Caballero</t>
  </si>
  <si>
    <t xml:space="preserve">Carlos Merida</t>
  </si>
  <si>
    <t xml:space="preserve">Francisco Martin</t>
  </si>
  <si>
    <t xml:space="preserve">Javier Nay</t>
  </si>
  <si>
    <t xml:space="preserve">Julio Muñoz</t>
  </si>
  <si>
    <t xml:space="preserve">Roberto Marquez</t>
  </si>
  <si>
    <t xml:space="preserve">Cristian Bellido</t>
  </si>
  <si>
    <t xml:space="preserve">Francisco Mena</t>
  </si>
  <si>
    <t xml:space="preserve">Luis Llorente</t>
  </si>
  <si>
    <t xml:space="preserve">Martin Paddy</t>
  </si>
  <si>
    <t xml:space="preserve">Pablo Ortiz</t>
  </si>
  <si>
    <t xml:space="preserve">Erick Villarreal</t>
  </si>
  <si>
    <t xml:space="preserve">Josue Bragtley</t>
  </si>
  <si>
    <t xml:space="preserve">Abdiel Cerrud</t>
  </si>
  <si>
    <t xml:space="preserve">José Terriente</t>
  </si>
  <si>
    <t xml:space="preserve">Alexis Hartman</t>
  </si>
  <si>
    <t xml:space="preserve">William Rodríguez</t>
  </si>
  <si>
    <t xml:space="preserve">José Salas</t>
  </si>
  <si>
    <t xml:space="preserve">Daniel Torrealba</t>
  </si>
  <si>
    <t xml:space="preserve">Abi Vargas</t>
  </si>
  <si>
    <t xml:space="preserve">Abel Castillo</t>
  </si>
  <si>
    <t xml:space="preserve">Eric Yim</t>
  </si>
  <si>
    <t xml:space="preserve">Kenny Van Gómez</t>
  </si>
  <si>
    <t xml:space="preserve">José Luis Frías</t>
  </si>
  <si>
    <t xml:space="preserve">Héctor Vergara</t>
  </si>
  <si>
    <t xml:space="preserve">Johnatan Santos</t>
  </si>
  <si>
    <t xml:space="preserve">José Camacho</t>
  </si>
  <si>
    <t xml:space="preserve">Jorge Batista</t>
  </si>
  <si>
    <t xml:space="preserve">Rogelio Chávez</t>
  </si>
  <si>
    <t xml:space="preserve">Felix Alveo</t>
  </si>
  <si>
    <t xml:space="preserve">Jefry Hernandez</t>
  </si>
  <si>
    <t xml:space="preserve">Jose Lee</t>
  </si>
  <si>
    <t xml:space="preserve">Erick Valdivieso</t>
  </si>
  <si>
    <t xml:space="preserve">Félix Robles</t>
  </si>
  <si>
    <t xml:space="preserve">Eduardo Valarezo</t>
  </si>
  <si>
    <t xml:space="preserve">Alejandro Jaén</t>
  </si>
  <si>
    <t xml:space="preserve">Javier López</t>
  </si>
  <si>
    <t xml:space="preserve">Evair Montenegro</t>
  </si>
  <si>
    <t xml:space="preserve">Juanra Tam</t>
  </si>
  <si>
    <t xml:space="preserve">Gabriel Riquelme</t>
  </si>
  <si>
    <t xml:space="preserve">Jorge León</t>
  </si>
  <si>
    <t xml:space="preserve">Jose Medina</t>
  </si>
  <si>
    <t xml:space="preserve">Juan Carlos Bonilla</t>
  </si>
  <si>
    <t xml:space="preserve">Jose Gutiérrez</t>
  </si>
  <si>
    <t xml:space="preserve">José Moreno</t>
  </si>
  <si>
    <t xml:space="preserve">Ricky Iván Cumberbatch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</si>
</sst>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+0;\-0;0"/>
    <numFmt numFmtId="166" formatCode="0.000"/>
    <numFmt numFmtId="167" formatCode="0.0"/>
    <numFmt numFmtId="168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FEC"/>
        <bgColor rgb="FFCCFFFF"/>
      </patternFill>
    </fill>
    <fill>
      <patternFill patternType="solid">
        <fgColor rgb="FF14140E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/>
      <c r="B6" s="4"/>
    </row>
    <row r="7" customFormat="false" ht="23.25" hidden="false" customHeight="true" outlineLevel="0" collapsed="false">
      <c r="A7" s="3" t="s">
        <v>7</v>
      </c>
      <c r="B7" s="4"/>
    </row>
    <row r="8" customFormat="false" ht="23.25" hidden="false" customHeight="true" outlineLevel="0" collapsed="false">
      <c r="A8" s="3" t="s">
        <v>8</v>
      </c>
      <c r="B8" s="5" t="s">
        <v>9</v>
      </c>
    </row>
    <row r="9" customFormat="false" ht="15" hidden="false" customHeight="true" outlineLevel="0" collapsed="false">
      <c r="A9" s="3" t="s">
        <v>10</v>
      </c>
      <c r="B9" s="5" t="s">
        <v>11</v>
      </c>
    </row>
    <row r="10" customFormat="false" ht="15" hidden="false" customHeight="true" outlineLevel="0" collapsed="false">
      <c r="A10" s="3" t="s">
        <v>12</v>
      </c>
      <c r="B10" s="5" t="s">
        <v>13</v>
      </c>
    </row>
    <row r="11" customFormat="false" ht="15" hidden="false" customHeight="true" outlineLevel="0" collapsed="false">
      <c r="A11" s="3" t="s">
        <v>14</v>
      </c>
      <c r="B11" s="5" t="s">
        <v>15</v>
      </c>
    </row>
    <row r="12" customFormat="false" ht="15" hidden="false" customHeight="true" outlineLevel="0" collapsed="false">
      <c r="A12" s="3" t="s">
        <v>16</v>
      </c>
      <c r="B12" s="5" t="s">
        <v>17</v>
      </c>
    </row>
    <row r="13" customFormat="false" ht="15" hidden="false" customHeight="true" outlineLevel="0" collapsed="false">
      <c r="A13" s="3" t="s">
        <v>18</v>
      </c>
      <c r="B13" s="5" t="s">
        <v>19</v>
      </c>
    </row>
    <row r="14" customFormat="false" ht="15" hidden="false" customHeight="true" outlineLevel="0" collapsed="false">
      <c r="A14" s="3" t="s">
        <v>20</v>
      </c>
      <c r="B14" s="5" t="s">
        <v>21</v>
      </c>
    </row>
    <row r="15" customFormat="false" ht="15" hidden="false" customHeight="true" outlineLevel="0" collapsed="false">
      <c r="A15" s="3" t="s">
        <v>22</v>
      </c>
      <c r="B15" s="5" t="s">
        <v>23</v>
      </c>
    </row>
    <row r="16" customFormat="false" ht="15" hidden="false" customHeight="true" outlineLevel="0" collapsed="false">
      <c r="A16" s="3" t="s">
        <v>24</v>
      </c>
      <c r="B16" s="5" t="s">
        <v>25</v>
      </c>
    </row>
    <row r="17" customFormat="false" ht="15" hidden="false" customHeight="true" outlineLevel="0" collapsed="false">
      <c r="A17" s="3" t="s">
        <v>26</v>
      </c>
      <c r="B17" s="5" t="s">
        <v>27</v>
      </c>
    </row>
    <row r="18" customFormat="false" ht="15" hidden="false" customHeight="true" outlineLevel="0" collapsed="false">
      <c r="A18" s="3" t="s">
        <v>28</v>
      </c>
      <c r="B18" s="5" t="s">
        <v>29</v>
      </c>
    </row>
    <row r="19" customFormat="false" ht="15" hidden="false" customHeight="true" outlineLevel="0" collapsed="false">
      <c r="A19" s="3" t="s">
        <v>30</v>
      </c>
      <c r="B19" s="5" t="s">
        <v>31</v>
      </c>
    </row>
    <row r="20" customFormat="false" ht="15" hidden="false" customHeight="true" outlineLevel="0" collapsed="false">
      <c r="A20" s="3"/>
      <c r="B20" s="5"/>
    </row>
    <row r="21" customFormat="false" ht="15" hidden="false" customHeight="true" outlineLevel="0" collapsed="false">
      <c r="A21" s="3" t="s">
        <v>32</v>
      </c>
      <c r="B21" s="5" t="s">
        <v>33</v>
      </c>
    </row>
    <row r="22" customFormat="false" ht="15" hidden="false" customHeight="true" outlineLevel="0" collapsed="false">
      <c r="A22" s="6"/>
      <c r="B22" s="7"/>
    </row>
    <row r="23" customFormat="false" ht="15" hidden="false" customHeight="true" outlineLevel="0" collapsed="false">
      <c r="A23" s="6"/>
      <c r="B23" s="7"/>
    </row>
    <row r="24" customFormat="false" ht="15" hidden="false" customHeight="true" outlineLevel="0" collapsed="false">
      <c r="A24" s="6"/>
      <c r="B24" s="7"/>
    </row>
    <row r="25" customFormat="false" ht="23.25" hidden="false" customHeight="true" outlineLevel="0" collapsed="false">
      <c r="A25" s="6"/>
      <c r="B25" s="7"/>
    </row>
    <row r="26" customFormat="false" ht="15" hidden="false" customHeight="true" outlineLevel="0" collapsed="false">
      <c r="A26" s="6"/>
      <c r="B26" s="7"/>
    </row>
    <row r="27" customFormat="false" ht="15" hidden="false" customHeight="true" outlineLevel="0" collapsed="false">
      <c r="A27" s="6"/>
      <c r="B27" s="7"/>
    </row>
    <row r="28" customFormat="false" ht="23.25" hidden="false" customHeight="true" outlineLevel="0" collapsed="false">
      <c r="A28" s="6"/>
      <c r="B28" s="7"/>
    </row>
    <row r="2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7" min="3" style="1" width="6"/>
    <col collapsed="false" customWidth="true" hidden="false" outlineLevel="0" max="8" min="8" style="1" width="7"/>
    <col collapsed="false" customWidth="true" hidden="false" outlineLevel="0" max="9" min="9" style="1" width="8"/>
  </cols>
  <sheetData>
    <row r="1" customFormat="false" ht="19.5" hidden="false" customHeight="true" outlineLevel="0" collapsed="false">
      <c r="A1" s="2" t="s">
        <v>34</v>
      </c>
    </row>
    <row r="2" customFormat="false" ht="15" hidden="false" customHeight="true" outlineLevel="0" collapsed="false">
      <c r="A2" s="8" t="s">
        <v>35</v>
      </c>
    </row>
    <row r="4" customFormat="false" ht="15" hidden="false" customHeight="true" outlineLevel="0" collapsed="false">
      <c r="A4" s="9" t="s">
        <v>36</v>
      </c>
      <c r="B4" s="9" t="s">
        <v>37</v>
      </c>
      <c r="C4" s="9" t="s">
        <v>8</v>
      </c>
      <c r="D4" s="9" t="s">
        <v>38</v>
      </c>
      <c r="E4" s="9" t="s">
        <v>39</v>
      </c>
      <c r="F4" s="9" t="s">
        <v>40</v>
      </c>
      <c r="G4" s="9" t="s">
        <v>41</v>
      </c>
      <c r="H4" s="9" t="s">
        <v>42</v>
      </c>
      <c r="I4" s="9" t="s">
        <v>43</v>
      </c>
    </row>
    <row r="5" customFormat="false" ht="15" hidden="false" customHeight="true" outlineLevel="0" collapsed="false">
      <c r="A5" s="10" t="s">
        <v>44</v>
      </c>
      <c r="B5" s="11" t="s">
        <v>45</v>
      </c>
      <c r="C5" s="10" t="n">
        <f aca="false">COUNTIF(Resultados!$D$5:$D$200,$B5)+COUNTIF(Resultados!$F$5:$F$200,$B5)</f>
        <v>3</v>
      </c>
      <c r="D5" s="10" t="n">
        <f aca="false">SUMPRODUCT((Resultados!$D$5:$D$200=$B5)*(Resultados!$E$5:$E$200&gt;Resultados!$G$5:$G$200))+SUMPRODUCT((Resultados!$F$5:$F$200=$B5)*(Resultados!$G$5:$G$200&gt;Resultados!$E$5:$E$200))</f>
        <v>3</v>
      </c>
      <c r="E5" s="10" t="n">
        <f aca="false">SUMPRODUCT((Resultados!$D$5:$D$200=$B5)*(Resultados!$E$5:$E$200&lt;Resultados!$G$5:$G$200))+SUMPRODUCT((Resultados!$F$5:$F$200=$B5)*(Resultados!$G$5:$G$200&lt;Resultados!$E$5:$E$200))</f>
        <v>0</v>
      </c>
      <c r="F5" s="10" t="n">
        <f aca="false">SUMIF(Resultados!$D$5:$D$200,$B5,Resultados!$E$5:$E$200)+SUMIF(Resultados!$F$5:$F$200,$B5,Resultados!$G$5:$G$200)</f>
        <v>44</v>
      </c>
      <c r="G5" s="10" t="n">
        <f aca="false">SUMIF(Resultados!$D$5:$D$200,$B5,Resultados!$G$5:$G$200)+SUMIF(Resultados!$F$5:$F$200,$B5,Resultados!$E$5:$E$200)</f>
        <v>28</v>
      </c>
      <c r="H5" s="12" t="n">
        <f aca="false">F5-G5</f>
        <v>16</v>
      </c>
      <c r="I5" s="13" t="n">
        <f aca="false">IF(C5=0,"",D5/C5)</f>
        <v>1</v>
      </c>
    </row>
    <row r="6" customFormat="false" ht="15" hidden="false" customHeight="true" outlineLevel="0" collapsed="false">
      <c r="A6" s="10" t="s">
        <v>46</v>
      </c>
      <c r="B6" s="11" t="s">
        <v>47</v>
      </c>
      <c r="C6" s="10" t="n">
        <f aca="false">COUNTIF(Resultados!$D$5:$D$200,$B6)+COUNTIF(Resultados!$F$5:$F$200,$B6)</f>
        <v>3</v>
      </c>
      <c r="D6" s="10" t="n">
        <f aca="false">SUMPRODUCT((Resultados!$D$5:$D$200=$B6)*(Resultados!$E$5:$E$200&gt;Resultados!$G$5:$G$200))+SUMPRODUCT((Resultados!$F$5:$F$200=$B6)*(Resultados!$G$5:$G$200&gt;Resultados!$E$5:$E$200))</f>
        <v>2</v>
      </c>
      <c r="E6" s="10" t="n">
        <f aca="false">SUMPRODUCT((Resultados!$D$5:$D$200=$B6)*(Resultados!$E$5:$E$200&lt;Resultados!$G$5:$G$200))+SUMPRODUCT((Resultados!$F$5:$F$200=$B6)*(Resultados!$G$5:$G$200&lt;Resultados!$E$5:$E$200))</f>
        <v>1</v>
      </c>
      <c r="F6" s="10" t="n">
        <f aca="false">SUMIF(Resultados!$D$5:$D$200,$B6,Resultados!$E$5:$E$200)+SUMIF(Resultados!$F$5:$F$200,$B6,Resultados!$G$5:$G$200)</f>
        <v>20</v>
      </c>
      <c r="G6" s="10" t="n">
        <f aca="false">SUMIF(Resultados!$D$5:$D$200,$B6,Resultados!$G$5:$G$200)+SUMIF(Resultados!$F$5:$F$200,$B6,Resultados!$E$5:$E$200)</f>
        <v>23</v>
      </c>
      <c r="H6" s="12" t="n">
        <f aca="false">F6-G6</f>
        <v>-3</v>
      </c>
      <c r="I6" s="13" t="n">
        <f aca="false">IF(C6=0,"",D6/C6)</f>
        <v>0.666666666666667</v>
      </c>
    </row>
    <row r="7" customFormat="false" ht="15" hidden="false" customHeight="true" outlineLevel="0" collapsed="false">
      <c r="A7" s="10" t="s">
        <v>48</v>
      </c>
      <c r="B7" s="11" t="s">
        <v>49</v>
      </c>
      <c r="C7" s="10" t="n">
        <f aca="false">COUNTIF(Resultados!$D$5:$D$200,$B7)+COUNTIF(Resultados!$F$5:$F$200,$B7)</f>
        <v>3</v>
      </c>
      <c r="D7" s="10" t="n">
        <f aca="false">SUMPRODUCT((Resultados!$D$5:$D$200=$B7)*(Resultados!$E$5:$E$200&gt;Resultados!$G$5:$G$200))+SUMPRODUCT((Resultados!$F$5:$F$200=$B7)*(Resultados!$G$5:$G$200&gt;Resultados!$E$5:$E$200))</f>
        <v>1</v>
      </c>
      <c r="E7" s="10" t="n">
        <f aca="false">SUMPRODUCT((Resultados!$D$5:$D$200=$B7)*(Resultados!$E$5:$E$200&lt;Resultados!$G$5:$G$200))+SUMPRODUCT((Resultados!$F$5:$F$200=$B7)*(Resultados!$G$5:$G$200&lt;Resultados!$E$5:$E$200))</f>
        <v>2</v>
      </c>
      <c r="F7" s="10" t="n">
        <f aca="false">SUMIF(Resultados!$D$5:$D$200,$B7,Resultados!$E$5:$E$200)+SUMIF(Resultados!$F$5:$F$200,$B7,Resultados!$G$5:$G$200)</f>
        <v>29</v>
      </c>
      <c r="G7" s="10" t="n">
        <f aca="false">SUMIF(Resultados!$D$5:$D$200,$B7,Resultados!$G$5:$G$200)+SUMIF(Resultados!$F$5:$F$200,$B7,Resultados!$E$5:$E$200)</f>
        <v>34</v>
      </c>
      <c r="H7" s="12" t="n">
        <f aca="false">F7-G7</f>
        <v>-5</v>
      </c>
      <c r="I7" s="13" t="n">
        <f aca="false">IF(C7=0,"",D7/C7)</f>
        <v>0.333333333333333</v>
      </c>
    </row>
    <row r="8" customFormat="false" ht="15" hidden="false" customHeight="true" outlineLevel="0" collapsed="false">
      <c r="A8" s="10" t="s">
        <v>50</v>
      </c>
      <c r="B8" s="11" t="s">
        <v>51</v>
      </c>
      <c r="C8" s="10" t="n">
        <f aca="false">COUNTIF(Resultados!$D$5:$D$200,$B8)+COUNTIF(Resultados!$F$5:$F$200,$B8)</f>
        <v>3</v>
      </c>
      <c r="D8" s="10" t="n">
        <f aca="false">SUMPRODUCT((Resultados!$D$5:$D$200=$B8)*(Resultados!$E$5:$E$200&gt;Resultados!$G$5:$G$200))+SUMPRODUCT((Resultados!$F$5:$F$200=$B8)*(Resultados!$G$5:$G$200&gt;Resultados!$E$5:$E$200))</f>
        <v>0</v>
      </c>
      <c r="E8" s="10" t="n">
        <f aca="false">SUMPRODUCT((Resultados!$D$5:$D$200=$B8)*(Resultados!$E$5:$E$200&lt;Resultados!$G$5:$G$200))+SUMPRODUCT((Resultados!$F$5:$F$200=$B8)*(Resultados!$G$5:$G$200&lt;Resultados!$E$5:$E$200))</f>
        <v>3</v>
      </c>
      <c r="F8" s="10" t="n">
        <f aca="false">SUMIF(Resultados!$D$5:$D$200,$B8,Resultados!$E$5:$E$200)+SUMIF(Resultados!$F$5:$F$200,$B8,Resultados!$G$5:$G$200)</f>
        <v>28</v>
      </c>
      <c r="G8" s="10" t="n">
        <f aca="false">SUMIF(Resultados!$D$5:$D$200,$B8,Resultados!$G$5:$G$200)+SUMIF(Resultados!$F$5:$F$200,$B8,Resultados!$E$5:$E$200)</f>
        <v>36</v>
      </c>
      <c r="H8" s="12" t="n">
        <f aca="false">F8-G8</f>
        <v>-8</v>
      </c>
      <c r="I8" s="13" t="n">
        <f aca="false">IF(C8=0,"",D8/C8)</f>
        <v>0</v>
      </c>
    </row>
    <row r="9" customFormat="false" ht="15" hidden="false" customHeight="true" outlineLevel="0" collapsed="false"/>
    <row r="11" customFormat="false" ht="15" hidden="false" customHeight="true" outlineLevel="0" collapsed="false">
      <c r="A11" s="8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18"/>
    <col collapsed="false" customWidth="true" hidden="false" outlineLevel="0" max="5" min="5" style="1" width="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8" t="s">
        <v>54</v>
      </c>
    </row>
    <row r="4" customFormat="false" ht="15" hidden="false" customHeight="true" outlineLevel="0" collapsed="false">
      <c r="A4" s="9" t="s">
        <v>55</v>
      </c>
      <c r="B4" s="9" t="s">
        <v>56</v>
      </c>
      <c r="C4" s="9" t="s">
        <v>57</v>
      </c>
      <c r="D4" s="9" t="s">
        <v>58</v>
      </c>
      <c r="E4" s="9" t="s">
        <v>59</v>
      </c>
      <c r="F4" s="9" t="s">
        <v>60</v>
      </c>
      <c r="G4" s="9" t="s">
        <v>59</v>
      </c>
      <c r="H4" s="9" t="s">
        <v>61</v>
      </c>
    </row>
    <row r="5" customFormat="false" ht="15" hidden="false" customHeight="true" outlineLevel="0" collapsed="false">
      <c r="A5" s="10" t="n">
        <v>1</v>
      </c>
      <c r="B5" s="10" t="s">
        <v>62</v>
      </c>
      <c r="C5" s="10" t="s">
        <v>63</v>
      </c>
      <c r="D5" s="14" t="s">
        <v>45</v>
      </c>
      <c r="E5" s="10" t="n">
        <v>18</v>
      </c>
      <c r="F5" s="14" t="s">
        <v>49</v>
      </c>
      <c r="G5" s="10" t="n">
        <v>11</v>
      </c>
      <c r="H5" s="10" t="n">
        <v>5</v>
      </c>
    </row>
    <row r="6" customFormat="false" ht="15" hidden="false" customHeight="true" outlineLevel="0" collapsed="false">
      <c r="A6" s="10" t="n">
        <v>1</v>
      </c>
      <c r="B6" s="10" t="s">
        <v>62</v>
      </c>
      <c r="C6" s="10" t="s">
        <v>64</v>
      </c>
      <c r="D6" s="14" t="s">
        <v>51</v>
      </c>
      <c r="E6" s="10" t="n">
        <v>7</v>
      </c>
      <c r="F6" s="14" t="s">
        <v>47</v>
      </c>
      <c r="G6" s="10" t="n">
        <v>8</v>
      </c>
      <c r="H6" s="10" t="n">
        <v>6</v>
      </c>
    </row>
    <row r="7" customFormat="false" ht="15" hidden="false" customHeight="false" outlineLevel="0" collapsed="false">
      <c r="A7" s="10" t="n">
        <v>2</v>
      </c>
      <c r="B7" s="10" t="s">
        <v>65</v>
      </c>
      <c r="C7" s="10" t="s">
        <v>63</v>
      </c>
      <c r="D7" s="14" t="s">
        <v>49</v>
      </c>
      <c r="E7" s="10" t="n">
        <v>13</v>
      </c>
      <c r="F7" s="14" t="s">
        <v>51</v>
      </c>
      <c r="G7" s="10" t="n">
        <v>9</v>
      </c>
      <c r="H7" s="10" t="n">
        <v>5</v>
      </c>
    </row>
    <row r="8" customFormat="false" ht="15" hidden="false" customHeight="false" outlineLevel="0" collapsed="false">
      <c r="A8" s="10" t="n">
        <v>2</v>
      </c>
      <c r="B8" s="10" t="s">
        <v>65</v>
      </c>
      <c r="C8" s="10" t="s">
        <v>64</v>
      </c>
      <c r="D8" s="14" t="s">
        <v>47</v>
      </c>
      <c r="E8" s="10" t="n">
        <v>5</v>
      </c>
      <c r="F8" s="14" t="s">
        <v>45</v>
      </c>
      <c r="G8" s="10" t="n">
        <v>11</v>
      </c>
      <c r="H8" s="10" t="n">
        <v>5</v>
      </c>
    </row>
    <row r="9" customFormat="false" ht="15" hidden="false" customHeight="false" outlineLevel="0" collapsed="false">
      <c r="A9" s="10" t="n">
        <v>3</v>
      </c>
      <c r="B9" s="10" t="s">
        <v>66</v>
      </c>
      <c r="C9" s="10" t="s">
        <v>63</v>
      </c>
      <c r="D9" s="14" t="s">
        <v>47</v>
      </c>
      <c r="E9" s="10" t="n">
        <v>7</v>
      </c>
      <c r="F9" s="14" t="s">
        <v>49</v>
      </c>
      <c r="G9" s="10" t="n">
        <v>5</v>
      </c>
      <c r="H9" s="10" t="n">
        <v>6</v>
      </c>
    </row>
    <row r="10" customFormat="false" ht="15" hidden="false" customHeight="false" outlineLevel="0" collapsed="false">
      <c r="A10" s="10" t="n">
        <v>3</v>
      </c>
      <c r="B10" s="10" t="s">
        <v>66</v>
      </c>
      <c r="C10" s="10" t="s">
        <v>64</v>
      </c>
      <c r="D10" s="14" t="s">
        <v>45</v>
      </c>
      <c r="E10" s="10" t="n">
        <v>15</v>
      </c>
      <c r="F10" s="14" t="s">
        <v>51</v>
      </c>
      <c r="G10" s="10" t="n">
        <v>12</v>
      </c>
      <c r="H10" s="10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45</v>
      </c>
    </row>
    <row r="2" customFormat="false" ht="15" hidden="false" customHeight="true" outlineLevel="0" collapsed="false">
      <c r="A2" s="8" t="s">
        <v>67</v>
      </c>
    </row>
    <row r="4" customFormat="false" ht="19.5" hidden="false" customHeight="true" outlineLevel="0" collapsed="false">
      <c r="A4" s="15" t="s">
        <v>68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69</v>
      </c>
      <c r="B5" s="5" t="s">
        <v>45</v>
      </c>
      <c r="C5" s="10" t="n">
        <v>3</v>
      </c>
      <c r="D5" s="10" t="n">
        <v>11</v>
      </c>
      <c r="E5" s="10" t="n">
        <v>7</v>
      </c>
      <c r="F5" s="10" t="n">
        <v>3</v>
      </c>
      <c r="G5" s="10" t="n">
        <v>2</v>
      </c>
      <c r="H5" s="10" t="n">
        <v>1</v>
      </c>
      <c r="I5" s="10" t="n">
        <v>9</v>
      </c>
      <c r="J5" s="13" t="n">
        <v>0.778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70</v>
      </c>
      <c r="B6" s="5" t="s">
        <v>45</v>
      </c>
      <c r="C6" s="10" t="n">
        <v>2</v>
      </c>
      <c r="D6" s="10" t="n">
        <v>7</v>
      </c>
      <c r="E6" s="10" t="n">
        <v>4</v>
      </c>
      <c r="F6" s="10" t="n">
        <v>4</v>
      </c>
      <c r="G6" s="10" t="n">
        <v>0</v>
      </c>
      <c r="H6" s="10" t="n">
        <v>0</v>
      </c>
      <c r="I6" s="10" t="n">
        <v>8</v>
      </c>
      <c r="J6" s="13" t="n">
        <v>0.667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71</v>
      </c>
      <c r="B7" s="5" t="s">
        <v>45</v>
      </c>
      <c r="C7" s="10" t="n">
        <v>2</v>
      </c>
      <c r="D7" s="10" t="n">
        <v>8</v>
      </c>
      <c r="E7" s="10" t="n">
        <v>5</v>
      </c>
      <c r="F7" s="10" t="n">
        <v>2</v>
      </c>
      <c r="G7" s="10" t="n">
        <v>1</v>
      </c>
      <c r="H7" s="10" t="n">
        <v>0</v>
      </c>
      <c r="I7" s="10" t="n">
        <v>5</v>
      </c>
      <c r="J7" s="13" t="n">
        <v>0.625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72</v>
      </c>
      <c r="B8" s="5" t="s">
        <v>45</v>
      </c>
      <c r="C8" s="10" t="n">
        <v>3</v>
      </c>
      <c r="D8" s="10" t="n">
        <v>9</v>
      </c>
      <c r="E8" s="10" t="n">
        <v>7</v>
      </c>
      <c r="F8" s="10" t="n">
        <v>2</v>
      </c>
      <c r="G8" s="10" t="n">
        <v>1</v>
      </c>
      <c r="H8" s="10" t="n">
        <v>0</v>
      </c>
      <c r="I8" s="10" t="n">
        <v>4</v>
      </c>
      <c r="J8" s="13" t="n">
        <v>0.875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73</v>
      </c>
      <c r="B9" s="5" t="s">
        <v>45</v>
      </c>
      <c r="C9" s="10" t="n">
        <v>2</v>
      </c>
      <c r="D9" s="10" t="n">
        <v>5</v>
      </c>
      <c r="E9" s="10" t="n">
        <v>4</v>
      </c>
      <c r="F9" s="10" t="n">
        <v>2</v>
      </c>
      <c r="G9" s="10" t="n">
        <v>0</v>
      </c>
      <c r="H9" s="10" t="n">
        <v>0</v>
      </c>
      <c r="I9" s="10" t="n">
        <v>4</v>
      </c>
      <c r="J9" s="13" t="n">
        <v>0.8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74</v>
      </c>
      <c r="B10" s="5" t="s">
        <v>45</v>
      </c>
      <c r="C10" s="10" t="n">
        <v>3</v>
      </c>
      <c r="D10" s="10" t="n">
        <v>9</v>
      </c>
      <c r="E10" s="10" t="n">
        <v>7</v>
      </c>
      <c r="F10" s="10" t="n">
        <v>0</v>
      </c>
      <c r="G10" s="10" t="n">
        <v>0</v>
      </c>
      <c r="H10" s="10" t="n">
        <v>0</v>
      </c>
      <c r="I10" s="10" t="n">
        <v>3</v>
      </c>
      <c r="J10" s="13" t="n">
        <v>0.778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75</v>
      </c>
      <c r="B11" s="5" t="s">
        <v>45</v>
      </c>
      <c r="C11" s="10" t="n">
        <v>2</v>
      </c>
      <c r="D11" s="10" t="n">
        <v>6</v>
      </c>
      <c r="E11" s="10" t="n">
        <v>4</v>
      </c>
      <c r="F11" s="10" t="n">
        <v>1</v>
      </c>
      <c r="G11" s="10" t="n">
        <v>0</v>
      </c>
      <c r="H11" s="10" t="n">
        <v>0</v>
      </c>
      <c r="I11" s="10" t="n">
        <v>3</v>
      </c>
      <c r="J11" s="13" t="n">
        <v>0.8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76</v>
      </c>
      <c r="B12" s="5" t="s">
        <v>45</v>
      </c>
      <c r="C12" s="10" t="n">
        <v>3</v>
      </c>
      <c r="D12" s="10" t="n">
        <v>11</v>
      </c>
      <c r="E12" s="10" t="n">
        <v>3</v>
      </c>
      <c r="F12" s="10" t="n">
        <v>0</v>
      </c>
      <c r="G12" s="10" t="n">
        <v>0</v>
      </c>
      <c r="H12" s="10" t="n">
        <v>2</v>
      </c>
      <c r="I12" s="10" t="n">
        <v>3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77</v>
      </c>
      <c r="B13" s="5" t="s">
        <v>45</v>
      </c>
      <c r="C13" s="10" t="n">
        <v>2</v>
      </c>
      <c r="D13" s="10" t="n">
        <v>7</v>
      </c>
      <c r="E13" s="10" t="n">
        <v>3</v>
      </c>
      <c r="F13" s="10" t="n">
        <v>1</v>
      </c>
      <c r="G13" s="10" t="n">
        <v>0</v>
      </c>
      <c r="H13" s="10" t="n">
        <v>0</v>
      </c>
      <c r="I13" s="10" t="n">
        <v>1</v>
      </c>
      <c r="J13" s="13" t="n">
        <v>0.429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78</v>
      </c>
      <c r="B14" s="5" t="s">
        <v>45</v>
      </c>
      <c r="C14" s="10" t="n">
        <v>3</v>
      </c>
      <c r="D14" s="10" t="n">
        <v>5</v>
      </c>
      <c r="E14" s="10" t="n">
        <v>3</v>
      </c>
      <c r="F14" s="10" t="n">
        <v>1</v>
      </c>
      <c r="G14" s="10" t="n">
        <v>0</v>
      </c>
      <c r="H14" s="10" t="n">
        <v>0</v>
      </c>
      <c r="I14" s="10" t="n">
        <v>1</v>
      </c>
      <c r="J14" s="13" t="n">
        <v>0.6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79</v>
      </c>
      <c r="B15" s="5" t="s">
        <v>45</v>
      </c>
      <c r="C15" s="10" t="n">
        <v>3</v>
      </c>
      <c r="D15" s="10" t="n">
        <v>10</v>
      </c>
      <c r="E15" s="10" t="n">
        <v>2</v>
      </c>
      <c r="F15" s="10" t="n">
        <v>1</v>
      </c>
      <c r="G15" s="10" t="n">
        <v>0</v>
      </c>
      <c r="H15" s="10" t="n">
        <v>0</v>
      </c>
      <c r="I15" s="10" t="n">
        <v>1</v>
      </c>
      <c r="J15" s="13" t="n">
        <v>0.222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80</v>
      </c>
      <c r="B16" s="5" t="s">
        <v>45</v>
      </c>
      <c r="C16" s="10" t="n">
        <v>1</v>
      </c>
      <c r="D16" s="10" t="n">
        <v>3</v>
      </c>
      <c r="E16" s="10" t="n">
        <v>1</v>
      </c>
      <c r="F16" s="10" t="n">
        <v>0</v>
      </c>
      <c r="G16" s="10" t="n">
        <v>0</v>
      </c>
      <c r="H16" s="10" t="n">
        <v>0</v>
      </c>
      <c r="I16" s="10" t="n">
        <v>1</v>
      </c>
      <c r="J16" s="13" t="n">
        <v>0.333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81</v>
      </c>
      <c r="B17" s="5" t="s">
        <v>45</v>
      </c>
      <c r="C17" s="10" t="n">
        <v>1</v>
      </c>
      <c r="D17" s="10" t="n">
        <v>2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82</v>
      </c>
      <c r="B18" s="5" t="s">
        <v>45</v>
      </c>
      <c r="C18" s="10" t="n">
        <v>1</v>
      </c>
      <c r="D18" s="10" t="n">
        <v>3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</v>
      </c>
      <c r="K18" s="17" t="n">
        <v>10</v>
      </c>
      <c r="L18" s="10" t="n">
        <v>2</v>
      </c>
      <c r="M18" s="10" t="n">
        <v>2</v>
      </c>
      <c r="N18" s="18" t="n">
        <v>6.3</v>
      </c>
    </row>
    <row r="19" customFormat="false" ht="15" hidden="false" customHeight="true" outlineLevel="0" collapsed="false">
      <c r="A19" s="5" t="s">
        <v>83</v>
      </c>
      <c r="B19" s="5" t="s">
        <v>45</v>
      </c>
      <c r="C19" s="10" t="n">
        <v>1</v>
      </c>
      <c r="D19" s="10" t="n">
        <v>1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 t="n">
        <v>0</v>
      </c>
      <c r="K19" s="17"/>
      <c r="L19" s="10"/>
      <c r="M19" s="10"/>
      <c r="N19" s="18"/>
    </row>
    <row r="20" customFormat="false" ht="15" hidden="false" customHeight="true" outlineLevel="0" collapsed="false">
      <c r="A20" s="5" t="s">
        <v>84</v>
      </c>
      <c r="B20" s="5" t="s">
        <v>45</v>
      </c>
      <c r="C20" s="10" t="n">
        <v>1</v>
      </c>
      <c r="D20" s="10" t="n">
        <v>4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3" t="n">
        <v>0</v>
      </c>
      <c r="K20" s="17"/>
      <c r="L20" s="10"/>
      <c r="M20" s="10"/>
      <c r="N20" s="18"/>
    </row>
    <row r="21" customFormat="false" ht="15" hidden="false" customHeight="false" outlineLevel="0" collapsed="false">
      <c r="A21" s="5" t="s">
        <v>85</v>
      </c>
      <c r="B21" s="5" t="s">
        <v>45</v>
      </c>
      <c r="C21" s="10" t="n">
        <v>2</v>
      </c>
      <c r="D21" s="10" t="n">
        <v>3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3" t="n">
        <v>0</v>
      </c>
      <c r="K21" s="17"/>
      <c r="L21" s="10"/>
      <c r="M21" s="10"/>
      <c r="N21" s="18"/>
    </row>
    <row r="22" customFormat="false" ht="15" hidden="false" customHeight="false" outlineLevel="0" collapsed="false">
      <c r="A22" s="5" t="s">
        <v>86</v>
      </c>
      <c r="B22" s="5" t="s">
        <v>45</v>
      </c>
      <c r="C22" s="10"/>
      <c r="D22" s="10"/>
      <c r="E22" s="10"/>
      <c r="F22" s="10"/>
      <c r="G22" s="10"/>
      <c r="H22" s="10"/>
      <c r="I22" s="10"/>
      <c r="J22" s="13"/>
      <c r="K22" s="17" t="n">
        <v>1</v>
      </c>
      <c r="L22" s="10" t="n">
        <v>0</v>
      </c>
      <c r="M22" s="10" t="n">
        <v>1</v>
      </c>
      <c r="N22" s="18" t="n">
        <v>35</v>
      </c>
    </row>
    <row r="23" customFormat="false" ht="15" hidden="false" customHeight="false" outlineLevel="0" collapsed="false">
      <c r="A23" s="19" t="s">
        <v>87</v>
      </c>
      <c r="B23" s="19" t="s">
        <v>45</v>
      </c>
      <c r="C23" s="20"/>
      <c r="D23" s="20"/>
      <c r="E23" s="20"/>
      <c r="F23" s="20"/>
      <c r="G23" s="20"/>
      <c r="H23" s="20"/>
      <c r="I23" s="20"/>
      <c r="J23" s="20"/>
      <c r="K23" s="21" t="n">
        <v>4</v>
      </c>
      <c r="L23" s="20" t="n">
        <v>1</v>
      </c>
      <c r="M23" s="20" t="n">
        <v>1</v>
      </c>
      <c r="N23" s="22" t="n">
        <v>1.75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47</v>
      </c>
    </row>
    <row r="2" customFormat="false" ht="15" hidden="false" customHeight="true" outlineLevel="0" collapsed="false">
      <c r="A2" s="8" t="s">
        <v>67</v>
      </c>
    </row>
    <row r="4" customFormat="false" ht="19.5" hidden="false" customHeight="true" outlineLevel="0" collapsed="false">
      <c r="A4" s="15" t="s">
        <v>68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88</v>
      </c>
      <c r="B5" s="5" t="s">
        <v>47</v>
      </c>
      <c r="C5" s="10" t="n">
        <v>3</v>
      </c>
      <c r="D5" s="10" t="n">
        <v>8</v>
      </c>
      <c r="E5" s="10" t="n">
        <v>5</v>
      </c>
      <c r="F5" s="10" t="n">
        <v>3</v>
      </c>
      <c r="G5" s="10" t="n">
        <v>1</v>
      </c>
      <c r="H5" s="10" t="n">
        <v>0</v>
      </c>
      <c r="I5" s="10" t="n">
        <v>5</v>
      </c>
      <c r="J5" s="13" t="n">
        <v>0.714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89</v>
      </c>
      <c r="B6" s="5" t="s">
        <v>47</v>
      </c>
      <c r="C6" s="10" t="n">
        <v>2</v>
      </c>
      <c r="D6" s="10" t="n">
        <v>6</v>
      </c>
      <c r="E6" s="10" t="n">
        <v>2</v>
      </c>
      <c r="F6" s="10" t="n">
        <v>0</v>
      </c>
      <c r="G6" s="10" t="n">
        <v>0</v>
      </c>
      <c r="H6" s="10" t="n">
        <v>0</v>
      </c>
      <c r="I6" s="10" t="n">
        <v>3</v>
      </c>
      <c r="J6" s="13" t="n">
        <v>0.333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90</v>
      </c>
      <c r="B7" s="5" t="s">
        <v>47</v>
      </c>
      <c r="C7" s="10" t="n">
        <v>3</v>
      </c>
      <c r="D7" s="10" t="n">
        <v>8</v>
      </c>
      <c r="E7" s="10" t="n">
        <v>3</v>
      </c>
      <c r="F7" s="10" t="n">
        <v>0</v>
      </c>
      <c r="G7" s="10" t="n">
        <v>1</v>
      </c>
      <c r="H7" s="10" t="n">
        <v>0</v>
      </c>
      <c r="I7" s="10" t="n">
        <v>2</v>
      </c>
      <c r="J7" s="13" t="n">
        <v>0.429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91</v>
      </c>
      <c r="B8" s="5" t="s">
        <v>47</v>
      </c>
      <c r="C8" s="10" t="n">
        <v>3</v>
      </c>
      <c r="D8" s="10" t="n">
        <v>9</v>
      </c>
      <c r="E8" s="10" t="n">
        <v>3</v>
      </c>
      <c r="F8" s="10" t="n">
        <v>1</v>
      </c>
      <c r="G8" s="10" t="n">
        <v>0</v>
      </c>
      <c r="H8" s="10" t="n">
        <v>0</v>
      </c>
      <c r="I8" s="10" t="n">
        <v>2</v>
      </c>
      <c r="J8" s="13" t="n">
        <v>0.333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92</v>
      </c>
      <c r="B9" s="5" t="s">
        <v>47</v>
      </c>
      <c r="C9" s="10" t="n">
        <v>3</v>
      </c>
      <c r="D9" s="10" t="n">
        <v>9</v>
      </c>
      <c r="E9" s="10" t="n">
        <v>3</v>
      </c>
      <c r="F9" s="10" t="n">
        <v>1</v>
      </c>
      <c r="G9" s="10" t="n">
        <v>0</v>
      </c>
      <c r="H9" s="10" t="n">
        <v>0</v>
      </c>
      <c r="I9" s="10" t="n">
        <v>1</v>
      </c>
      <c r="J9" s="13" t="n">
        <v>0.75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93</v>
      </c>
      <c r="B10" s="5" t="s">
        <v>47</v>
      </c>
      <c r="C10" s="10" t="n">
        <v>3</v>
      </c>
      <c r="D10" s="10" t="n">
        <v>6</v>
      </c>
      <c r="E10" s="10" t="n">
        <v>2</v>
      </c>
      <c r="F10" s="10" t="n">
        <v>0</v>
      </c>
      <c r="G10" s="10" t="n">
        <v>0</v>
      </c>
      <c r="H10" s="10" t="n">
        <v>0</v>
      </c>
      <c r="I10" s="10" t="n">
        <v>1</v>
      </c>
      <c r="J10" s="13" t="n">
        <v>0.4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94</v>
      </c>
      <c r="B11" s="5" t="s">
        <v>47</v>
      </c>
      <c r="C11" s="10" t="n">
        <v>3</v>
      </c>
      <c r="D11" s="10" t="n">
        <v>8</v>
      </c>
      <c r="E11" s="10" t="n">
        <v>2</v>
      </c>
      <c r="F11" s="10" t="n">
        <v>0</v>
      </c>
      <c r="G11" s="10" t="n">
        <v>0</v>
      </c>
      <c r="H11" s="10" t="n">
        <v>0</v>
      </c>
      <c r="I11" s="10" t="n">
        <v>1</v>
      </c>
      <c r="J11" s="13" t="n">
        <v>0.286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95</v>
      </c>
      <c r="B12" s="5" t="s">
        <v>47</v>
      </c>
      <c r="C12" s="10" t="n">
        <v>2</v>
      </c>
      <c r="D12" s="10" t="n">
        <v>3</v>
      </c>
      <c r="E12" s="10" t="n">
        <v>1</v>
      </c>
      <c r="F12" s="10" t="n">
        <v>1</v>
      </c>
      <c r="G12" s="10" t="n">
        <v>0</v>
      </c>
      <c r="H12" s="10" t="n">
        <v>0</v>
      </c>
      <c r="I12" s="10" t="n">
        <v>1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96</v>
      </c>
      <c r="B13" s="5" t="s">
        <v>47</v>
      </c>
      <c r="C13" s="10" t="n">
        <v>1</v>
      </c>
      <c r="D13" s="10" t="n">
        <v>1</v>
      </c>
      <c r="E13" s="10" t="n">
        <v>1</v>
      </c>
      <c r="F13" s="10" t="n">
        <v>0</v>
      </c>
      <c r="G13" s="10" t="n">
        <v>0</v>
      </c>
      <c r="H13" s="10" t="n">
        <v>0</v>
      </c>
      <c r="I13" s="10" t="n">
        <v>1</v>
      </c>
      <c r="J13" s="13" t="n">
        <v>1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97</v>
      </c>
      <c r="B14" s="5" t="s">
        <v>47</v>
      </c>
      <c r="C14" s="10" t="n">
        <v>3</v>
      </c>
      <c r="D14" s="10" t="n">
        <v>5</v>
      </c>
      <c r="E14" s="10" t="n">
        <v>1</v>
      </c>
      <c r="F14" s="10" t="n">
        <v>0</v>
      </c>
      <c r="G14" s="10" t="n">
        <v>0</v>
      </c>
      <c r="H14" s="10" t="n">
        <v>0</v>
      </c>
      <c r="I14" s="10" t="n">
        <v>1</v>
      </c>
      <c r="J14" s="13" t="n">
        <v>0.333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98</v>
      </c>
      <c r="B15" s="5" t="s">
        <v>47</v>
      </c>
      <c r="C15" s="10" t="n">
        <v>3</v>
      </c>
      <c r="D15" s="10" t="n">
        <v>5</v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1</v>
      </c>
      <c r="J15" s="13" t="n">
        <v>0.25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99</v>
      </c>
      <c r="B16" s="5" t="s">
        <v>47</v>
      </c>
      <c r="C16" s="10" t="n">
        <v>3</v>
      </c>
      <c r="D16" s="10" t="n">
        <v>6</v>
      </c>
      <c r="E16" s="10" t="n">
        <v>2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0.333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100</v>
      </c>
      <c r="B17" s="5" t="s">
        <v>47</v>
      </c>
      <c r="C17" s="10" t="n">
        <v>3</v>
      </c>
      <c r="D17" s="10" t="n">
        <v>3</v>
      </c>
      <c r="E17" s="10" t="n">
        <v>1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0.333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101</v>
      </c>
      <c r="B18" s="5" t="s">
        <v>47</v>
      </c>
      <c r="C18" s="10" t="n">
        <v>3</v>
      </c>
      <c r="D18" s="10" t="n">
        <v>5</v>
      </c>
      <c r="E18" s="10" t="n">
        <v>1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0.2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102</v>
      </c>
      <c r="B19" s="5" t="s">
        <v>47</v>
      </c>
      <c r="C19" s="10" t="n">
        <v>3</v>
      </c>
      <c r="D19" s="10" t="n">
        <v>3</v>
      </c>
      <c r="E19" s="10" t="n">
        <v>1</v>
      </c>
      <c r="F19" s="10" t="n">
        <v>0</v>
      </c>
      <c r="G19" s="10" t="n">
        <v>0</v>
      </c>
      <c r="H19" s="10" t="n">
        <v>0</v>
      </c>
      <c r="I19" s="10" t="n">
        <v>0</v>
      </c>
      <c r="J19" s="13" t="n">
        <v>0.333</v>
      </c>
      <c r="K19" s="17"/>
      <c r="L19" s="10"/>
      <c r="M19" s="10"/>
      <c r="N19" s="18"/>
    </row>
    <row r="20" customFormat="false" ht="15" hidden="false" customHeight="true" outlineLevel="0" collapsed="false">
      <c r="A20" s="5" t="s">
        <v>103</v>
      </c>
      <c r="B20" s="5" t="s">
        <v>47</v>
      </c>
      <c r="C20" s="10" t="n">
        <v>1</v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3"/>
      <c r="K20" s="17"/>
      <c r="L20" s="10"/>
      <c r="M20" s="10"/>
      <c r="N20" s="18"/>
    </row>
    <row r="21" customFormat="false" ht="15" hidden="false" customHeight="true" outlineLevel="0" collapsed="false">
      <c r="A21" s="5" t="s">
        <v>104</v>
      </c>
      <c r="B21" s="5" t="s">
        <v>47</v>
      </c>
      <c r="C21" s="10" t="n">
        <v>1</v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3" t="n">
        <v>0</v>
      </c>
      <c r="K21" s="17"/>
      <c r="L21" s="10"/>
      <c r="M21" s="10"/>
      <c r="N21" s="18"/>
    </row>
    <row r="22" customFormat="false" ht="15" hidden="false" customHeight="false" outlineLevel="0" collapsed="false">
      <c r="A22" s="5" t="s">
        <v>105</v>
      </c>
      <c r="B22" s="5" t="s">
        <v>47</v>
      </c>
      <c r="C22" s="10"/>
      <c r="D22" s="10"/>
      <c r="E22" s="10"/>
      <c r="F22" s="10"/>
      <c r="G22" s="10"/>
      <c r="H22" s="10"/>
      <c r="I22" s="10"/>
      <c r="J22" s="13"/>
      <c r="K22" s="17" t="n">
        <v>4</v>
      </c>
      <c r="L22" s="10" t="n">
        <v>0</v>
      </c>
      <c r="M22" s="10" t="n">
        <v>0</v>
      </c>
      <c r="N22" s="18" t="n">
        <v>5.25</v>
      </c>
    </row>
    <row r="23" customFormat="false" ht="15" hidden="false" customHeight="false" outlineLevel="0" collapsed="false">
      <c r="A23" s="5" t="s">
        <v>106</v>
      </c>
      <c r="B23" s="5" t="s">
        <v>47</v>
      </c>
      <c r="C23" s="10"/>
      <c r="D23" s="10"/>
      <c r="E23" s="10"/>
      <c r="F23" s="10"/>
      <c r="G23" s="10"/>
      <c r="H23" s="10"/>
      <c r="I23" s="10"/>
      <c r="J23" s="13"/>
      <c r="K23" s="17" t="n">
        <v>12</v>
      </c>
      <c r="L23" s="10" t="n">
        <v>2</v>
      </c>
      <c r="M23" s="10" t="n">
        <v>1</v>
      </c>
      <c r="N23" s="18" t="n">
        <v>9.92</v>
      </c>
    </row>
    <row r="24" customFormat="false" ht="15" hidden="false" customHeight="false" outlineLevel="0" collapsed="false">
      <c r="A24" s="23"/>
      <c r="B24" s="24"/>
      <c r="C24" s="24"/>
      <c r="D24" s="25"/>
      <c r="E24" s="25"/>
      <c r="F24" s="25"/>
      <c r="G24" s="25"/>
      <c r="H24" s="25"/>
      <c r="I24" s="25"/>
      <c r="J24" s="24"/>
      <c r="K24" s="26"/>
      <c r="L24" s="25"/>
      <c r="M24" s="25"/>
      <c r="N24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51</v>
      </c>
    </row>
    <row r="2" customFormat="false" ht="15" hidden="false" customHeight="true" outlineLevel="0" collapsed="false">
      <c r="A2" s="8" t="s">
        <v>67</v>
      </c>
    </row>
    <row r="4" customFormat="false" ht="19.5" hidden="false" customHeight="true" outlineLevel="0" collapsed="false">
      <c r="A4" s="15" t="s">
        <v>68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107</v>
      </c>
      <c r="B5" s="5" t="s">
        <v>51</v>
      </c>
      <c r="C5" s="10" t="n">
        <v>3</v>
      </c>
      <c r="D5" s="10" t="n">
        <v>8</v>
      </c>
      <c r="E5" s="10" t="n">
        <v>3</v>
      </c>
      <c r="F5" s="10" t="n">
        <v>1</v>
      </c>
      <c r="G5" s="10" t="n">
        <v>0</v>
      </c>
      <c r="H5" s="10" t="n">
        <v>1</v>
      </c>
      <c r="I5" s="10" t="n">
        <v>6</v>
      </c>
      <c r="J5" s="13" t="n">
        <v>0.5</v>
      </c>
      <c r="K5" s="17" t="n">
        <v>0</v>
      </c>
      <c r="L5" s="10" t="n">
        <v>0</v>
      </c>
      <c r="M5" s="10" t="n">
        <v>0</v>
      </c>
      <c r="N5" s="18"/>
    </row>
    <row r="6" customFormat="false" ht="15" hidden="false" customHeight="true" outlineLevel="0" collapsed="false">
      <c r="A6" s="5" t="s">
        <v>108</v>
      </c>
      <c r="B6" s="5" t="s">
        <v>51</v>
      </c>
      <c r="C6" s="10" t="n">
        <v>3</v>
      </c>
      <c r="D6" s="10" t="n">
        <v>9</v>
      </c>
      <c r="E6" s="10" t="n">
        <v>6</v>
      </c>
      <c r="F6" s="10" t="n">
        <v>3</v>
      </c>
      <c r="G6" s="10" t="n">
        <v>2</v>
      </c>
      <c r="H6" s="10" t="n">
        <v>0</v>
      </c>
      <c r="I6" s="10" t="n">
        <v>4</v>
      </c>
      <c r="J6" s="13" t="n">
        <v>0.75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109</v>
      </c>
      <c r="B7" s="5" t="s">
        <v>51</v>
      </c>
      <c r="C7" s="10" t="n">
        <v>3</v>
      </c>
      <c r="D7" s="10" t="n">
        <v>9</v>
      </c>
      <c r="E7" s="10" t="n">
        <v>4</v>
      </c>
      <c r="F7" s="10" t="n">
        <v>2</v>
      </c>
      <c r="G7" s="10" t="n">
        <v>0</v>
      </c>
      <c r="H7" s="10" t="n">
        <v>0</v>
      </c>
      <c r="I7" s="10" t="n">
        <v>4</v>
      </c>
      <c r="J7" s="13" t="n">
        <v>0.5</v>
      </c>
      <c r="K7" s="17" t="n">
        <v>0</v>
      </c>
      <c r="L7" s="10" t="n">
        <v>0</v>
      </c>
      <c r="M7" s="10" t="n">
        <v>0</v>
      </c>
      <c r="N7" s="18"/>
    </row>
    <row r="8" customFormat="false" ht="15" hidden="false" customHeight="true" outlineLevel="0" collapsed="false">
      <c r="A8" s="5" t="s">
        <v>110</v>
      </c>
      <c r="B8" s="5" t="s">
        <v>51</v>
      </c>
      <c r="C8" s="10" t="n">
        <v>3</v>
      </c>
      <c r="D8" s="10" t="n">
        <v>7</v>
      </c>
      <c r="E8" s="10" t="n">
        <v>3</v>
      </c>
      <c r="F8" s="10" t="n">
        <v>0</v>
      </c>
      <c r="G8" s="10" t="n">
        <v>2</v>
      </c>
      <c r="H8" s="10" t="n">
        <v>0</v>
      </c>
      <c r="I8" s="10" t="n">
        <v>3</v>
      </c>
      <c r="J8" s="13" t="n">
        <v>0.429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111</v>
      </c>
      <c r="B9" s="5" t="s">
        <v>51</v>
      </c>
      <c r="C9" s="10" t="n">
        <v>3</v>
      </c>
      <c r="D9" s="10" t="n">
        <v>6</v>
      </c>
      <c r="E9" s="10" t="n">
        <v>5</v>
      </c>
      <c r="F9" s="10" t="n">
        <v>0</v>
      </c>
      <c r="G9" s="10" t="n">
        <v>0</v>
      </c>
      <c r="H9" s="10" t="n">
        <v>0</v>
      </c>
      <c r="I9" s="10" t="n">
        <v>2</v>
      </c>
      <c r="J9" s="13" t="n">
        <v>0.833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112</v>
      </c>
      <c r="B10" s="5" t="s">
        <v>51</v>
      </c>
      <c r="C10" s="10" t="n">
        <v>3</v>
      </c>
      <c r="D10" s="10" t="n">
        <v>10</v>
      </c>
      <c r="E10" s="10" t="n">
        <v>4</v>
      </c>
      <c r="F10" s="10" t="n">
        <v>2</v>
      </c>
      <c r="G10" s="10" t="n">
        <v>0</v>
      </c>
      <c r="H10" s="10" t="n">
        <v>0</v>
      </c>
      <c r="I10" s="10" t="n">
        <v>2</v>
      </c>
      <c r="J10" s="13" t="n">
        <v>0.4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113</v>
      </c>
      <c r="B11" s="5" t="s">
        <v>51</v>
      </c>
      <c r="C11" s="10" t="n">
        <v>2</v>
      </c>
      <c r="D11" s="10" t="n">
        <v>7</v>
      </c>
      <c r="E11" s="10" t="n">
        <v>2</v>
      </c>
      <c r="F11" s="10" t="n">
        <v>0</v>
      </c>
      <c r="G11" s="10" t="n">
        <v>1</v>
      </c>
      <c r="H11" s="10" t="n">
        <v>0</v>
      </c>
      <c r="I11" s="10" t="n">
        <v>2</v>
      </c>
      <c r="J11" s="13" t="n">
        <v>0.286</v>
      </c>
      <c r="K11" s="17" t="n">
        <v>3</v>
      </c>
      <c r="L11" s="10" t="n">
        <v>0</v>
      </c>
      <c r="M11" s="10" t="n">
        <v>0</v>
      </c>
      <c r="N11" s="18" t="n">
        <v>18.67</v>
      </c>
    </row>
    <row r="12" customFormat="false" ht="15" hidden="false" customHeight="true" outlineLevel="0" collapsed="false">
      <c r="A12" s="5" t="s">
        <v>114</v>
      </c>
      <c r="B12" s="5" t="s">
        <v>51</v>
      </c>
      <c r="C12" s="10" t="n">
        <v>1</v>
      </c>
      <c r="D12" s="10" t="n">
        <v>3</v>
      </c>
      <c r="E12" s="10" t="n">
        <v>1</v>
      </c>
      <c r="F12" s="10" t="n">
        <v>0</v>
      </c>
      <c r="G12" s="10" t="n">
        <v>0</v>
      </c>
      <c r="H12" s="10" t="n">
        <v>0</v>
      </c>
      <c r="I12" s="10" t="n">
        <v>2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115</v>
      </c>
      <c r="B13" s="5" t="s">
        <v>51</v>
      </c>
      <c r="C13" s="10" t="n">
        <v>3</v>
      </c>
      <c r="D13" s="10" t="n">
        <v>7</v>
      </c>
      <c r="E13" s="10" t="n">
        <v>4</v>
      </c>
      <c r="F13" s="10" t="n">
        <v>0</v>
      </c>
      <c r="G13" s="10" t="n">
        <v>1</v>
      </c>
      <c r="H13" s="10" t="n">
        <v>0</v>
      </c>
      <c r="I13" s="10" t="n">
        <v>1</v>
      </c>
      <c r="J13" s="13" t="n">
        <v>0.667</v>
      </c>
      <c r="K13" s="17" t="n">
        <v>4.2</v>
      </c>
      <c r="L13" s="10" t="n">
        <v>0</v>
      </c>
      <c r="M13" s="10" t="n">
        <v>1</v>
      </c>
      <c r="N13" s="18" t="n">
        <v>10.5</v>
      </c>
    </row>
    <row r="14" customFormat="false" ht="15" hidden="false" customHeight="true" outlineLevel="0" collapsed="false">
      <c r="A14" s="5" t="s">
        <v>116</v>
      </c>
      <c r="B14" s="5" t="s">
        <v>51</v>
      </c>
      <c r="C14" s="10" t="n">
        <v>2</v>
      </c>
      <c r="D14" s="10" t="n">
        <v>6</v>
      </c>
      <c r="E14" s="10" t="n">
        <v>3</v>
      </c>
      <c r="F14" s="10" t="n">
        <v>0</v>
      </c>
      <c r="G14" s="10" t="n">
        <v>1</v>
      </c>
      <c r="H14" s="10" t="n">
        <v>0</v>
      </c>
      <c r="I14" s="10" t="n">
        <v>0</v>
      </c>
      <c r="J14" s="13" t="n">
        <v>0.5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117</v>
      </c>
      <c r="B15" s="5" t="s">
        <v>51</v>
      </c>
      <c r="C15" s="10" t="n">
        <v>2</v>
      </c>
      <c r="D15" s="10" t="n">
        <v>6</v>
      </c>
      <c r="E15" s="10" t="n">
        <v>2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0.333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118</v>
      </c>
      <c r="B16" s="5" t="s">
        <v>51</v>
      </c>
      <c r="C16" s="10" t="n">
        <v>1</v>
      </c>
      <c r="D16" s="10" t="n">
        <v>2</v>
      </c>
      <c r="E16" s="10" t="n">
        <v>1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0.5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119</v>
      </c>
      <c r="B17" s="5" t="s">
        <v>51</v>
      </c>
      <c r="C17" s="10" t="n">
        <v>3</v>
      </c>
      <c r="D17" s="10" t="n">
        <v>9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120</v>
      </c>
      <c r="B18" s="5" t="s">
        <v>51</v>
      </c>
      <c r="C18" s="10" t="n">
        <v>1</v>
      </c>
      <c r="D18" s="10" t="n">
        <v>3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121</v>
      </c>
      <c r="B19" s="5" t="s">
        <v>51</v>
      </c>
      <c r="C19" s="10"/>
      <c r="D19" s="10"/>
      <c r="E19" s="10"/>
      <c r="F19" s="10"/>
      <c r="G19" s="10"/>
      <c r="H19" s="10"/>
      <c r="I19" s="10"/>
      <c r="J19" s="13"/>
      <c r="K19" s="17" t="n">
        <v>7.2</v>
      </c>
      <c r="L19" s="10" t="n">
        <v>0</v>
      </c>
      <c r="M19" s="10" t="n">
        <v>0</v>
      </c>
      <c r="N19" s="18" t="n">
        <v>11.87</v>
      </c>
    </row>
    <row r="20" customFormat="false" ht="15" hidden="false" customHeight="false" outlineLevel="0" collapsed="false">
      <c r="A20" s="23"/>
      <c r="B20" s="24"/>
      <c r="C20" s="24"/>
      <c r="D20" s="25"/>
      <c r="E20" s="25"/>
      <c r="F20" s="25"/>
      <c r="G20" s="25"/>
      <c r="H20" s="25"/>
      <c r="I20" s="25"/>
      <c r="J20" s="24"/>
      <c r="K20" s="26"/>
      <c r="L20" s="25"/>
      <c r="M20" s="25"/>
      <c r="N2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49</v>
      </c>
    </row>
    <row r="2" customFormat="false" ht="15" hidden="false" customHeight="true" outlineLevel="0" collapsed="false">
      <c r="A2" s="8" t="s">
        <v>67</v>
      </c>
    </row>
    <row r="4" customFormat="false" ht="19.5" hidden="false" customHeight="true" outlineLevel="0" collapsed="false">
      <c r="A4" s="15" t="s">
        <v>68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122</v>
      </c>
      <c r="B5" s="5" t="s">
        <v>49</v>
      </c>
      <c r="C5" s="10" t="n">
        <v>3</v>
      </c>
      <c r="D5" s="10" t="n">
        <v>8</v>
      </c>
      <c r="E5" s="10" t="n">
        <v>6</v>
      </c>
      <c r="F5" s="10" t="n">
        <v>3</v>
      </c>
      <c r="G5" s="10" t="n">
        <v>1</v>
      </c>
      <c r="H5" s="10" t="n">
        <v>0</v>
      </c>
      <c r="I5" s="10" t="n">
        <v>5</v>
      </c>
      <c r="J5" s="13" t="n">
        <v>1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123</v>
      </c>
      <c r="B6" s="5" t="s">
        <v>49</v>
      </c>
      <c r="C6" s="10" t="n">
        <v>2</v>
      </c>
      <c r="D6" s="10" t="n">
        <v>6</v>
      </c>
      <c r="E6" s="10" t="n">
        <v>4</v>
      </c>
      <c r="F6" s="10" t="n">
        <v>3</v>
      </c>
      <c r="G6" s="10" t="n">
        <v>0</v>
      </c>
      <c r="H6" s="10" t="n">
        <v>0</v>
      </c>
      <c r="I6" s="10" t="n">
        <v>3</v>
      </c>
      <c r="J6" s="13" t="n">
        <v>0.667</v>
      </c>
      <c r="K6" s="17" t="n">
        <v>15</v>
      </c>
      <c r="L6" s="10" t="n">
        <v>1</v>
      </c>
      <c r="M6" s="10" t="n">
        <v>2</v>
      </c>
      <c r="N6" s="18" t="n">
        <v>9.8</v>
      </c>
    </row>
    <row r="7" customFormat="false" ht="15" hidden="false" customHeight="true" outlineLevel="0" collapsed="false">
      <c r="A7" s="5" t="s">
        <v>124</v>
      </c>
      <c r="B7" s="5" t="s">
        <v>49</v>
      </c>
      <c r="C7" s="10" t="n">
        <v>2</v>
      </c>
      <c r="D7" s="10" t="n">
        <v>5</v>
      </c>
      <c r="E7" s="10" t="n">
        <v>3</v>
      </c>
      <c r="F7" s="10" t="n">
        <v>0</v>
      </c>
      <c r="G7" s="10" t="n">
        <v>0</v>
      </c>
      <c r="H7" s="10" t="n">
        <v>0</v>
      </c>
      <c r="I7" s="10" t="n">
        <v>3</v>
      </c>
      <c r="J7" s="13" t="n">
        <v>0.75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125</v>
      </c>
      <c r="B8" s="5" t="s">
        <v>49</v>
      </c>
      <c r="C8" s="10" t="n">
        <v>3</v>
      </c>
      <c r="D8" s="10" t="n">
        <v>7</v>
      </c>
      <c r="E8" s="10" t="n">
        <v>3</v>
      </c>
      <c r="F8" s="10" t="n">
        <v>0</v>
      </c>
      <c r="G8" s="10" t="n">
        <v>0</v>
      </c>
      <c r="H8" s="10" t="n">
        <v>0</v>
      </c>
      <c r="I8" s="10" t="n">
        <v>3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126</v>
      </c>
      <c r="B9" s="5" t="s">
        <v>49</v>
      </c>
      <c r="C9" s="10" t="n">
        <v>3</v>
      </c>
      <c r="D9" s="10" t="n">
        <v>7</v>
      </c>
      <c r="E9" s="10" t="n">
        <v>2</v>
      </c>
      <c r="F9" s="10" t="n">
        <v>1</v>
      </c>
      <c r="G9" s="10" t="n">
        <v>0</v>
      </c>
      <c r="H9" s="10" t="n">
        <v>0</v>
      </c>
      <c r="I9" s="10" t="n">
        <v>3</v>
      </c>
      <c r="J9" s="13" t="n">
        <v>0.333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127</v>
      </c>
      <c r="B10" s="5" t="s">
        <v>49</v>
      </c>
      <c r="C10" s="10" t="n">
        <v>3</v>
      </c>
      <c r="D10" s="10" t="n">
        <v>6</v>
      </c>
      <c r="E10" s="10" t="n">
        <v>2</v>
      </c>
      <c r="F10" s="10" t="n">
        <v>0</v>
      </c>
      <c r="G10" s="10" t="n">
        <v>0</v>
      </c>
      <c r="H10" s="10" t="n">
        <v>0</v>
      </c>
      <c r="I10" s="10" t="n">
        <v>3</v>
      </c>
      <c r="J10" s="13" t="n">
        <v>0.333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128</v>
      </c>
      <c r="B11" s="5" t="s">
        <v>49</v>
      </c>
      <c r="C11" s="10" t="n">
        <v>2</v>
      </c>
      <c r="D11" s="10" t="n">
        <v>5</v>
      </c>
      <c r="E11" s="10" t="n">
        <v>1</v>
      </c>
      <c r="F11" s="10" t="n">
        <v>0</v>
      </c>
      <c r="G11" s="10" t="n">
        <v>0</v>
      </c>
      <c r="H11" s="10" t="n">
        <v>0</v>
      </c>
      <c r="I11" s="10" t="n">
        <v>3</v>
      </c>
      <c r="J11" s="13" t="n">
        <v>0.2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129</v>
      </c>
      <c r="B12" s="5" t="s">
        <v>49</v>
      </c>
      <c r="C12" s="10" t="n">
        <v>3</v>
      </c>
      <c r="D12" s="10" t="n">
        <v>9</v>
      </c>
      <c r="E12" s="10" t="n">
        <v>5</v>
      </c>
      <c r="F12" s="10" t="n">
        <v>0</v>
      </c>
      <c r="G12" s="10" t="n">
        <v>0</v>
      </c>
      <c r="H12" s="10" t="n">
        <v>0</v>
      </c>
      <c r="I12" s="10" t="n">
        <v>1</v>
      </c>
      <c r="J12" s="13" t="n">
        <v>0.714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130</v>
      </c>
      <c r="B13" s="5" t="s">
        <v>49</v>
      </c>
      <c r="C13" s="10" t="n">
        <v>3</v>
      </c>
      <c r="D13" s="10" t="n">
        <v>7</v>
      </c>
      <c r="E13" s="10" t="n">
        <v>5</v>
      </c>
      <c r="F13" s="10" t="n">
        <v>2</v>
      </c>
      <c r="G13" s="10" t="n">
        <v>0</v>
      </c>
      <c r="H13" s="10" t="n">
        <v>0</v>
      </c>
      <c r="I13" s="10" t="n">
        <v>1</v>
      </c>
      <c r="J13" s="13" t="n">
        <v>0.714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131</v>
      </c>
      <c r="B14" s="5" t="s">
        <v>49</v>
      </c>
      <c r="C14" s="10" t="n">
        <v>3</v>
      </c>
      <c r="D14" s="10" t="n">
        <v>8</v>
      </c>
      <c r="E14" s="10" t="n">
        <v>4</v>
      </c>
      <c r="F14" s="10" t="n">
        <v>2</v>
      </c>
      <c r="G14" s="10" t="n">
        <v>0</v>
      </c>
      <c r="H14" s="10" t="n">
        <v>0</v>
      </c>
      <c r="I14" s="10" t="n">
        <v>1</v>
      </c>
      <c r="J14" s="13" t="n">
        <v>0.5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132</v>
      </c>
      <c r="B15" s="5" t="s">
        <v>49</v>
      </c>
      <c r="C15" s="10" t="n">
        <v>3</v>
      </c>
      <c r="D15" s="10" t="n">
        <v>7</v>
      </c>
      <c r="E15" s="10" t="n">
        <v>2</v>
      </c>
      <c r="F15" s="10" t="n">
        <v>1</v>
      </c>
      <c r="G15" s="10" t="n">
        <v>0</v>
      </c>
      <c r="H15" s="10" t="n">
        <v>0</v>
      </c>
      <c r="I15" s="10" t="n">
        <v>1</v>
      </c>
      <c r="J15" s="13" t="n">
        <v>0.4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133</v>
      </c>
      <c r="B16" s="5" t="s">
        <v>49</v>
      </c>
      <c r="C16" s="10" t="n">
        <v>1</v>
      </c>
      <c r="D16" s="10" t="n">
        <v>4</v>
      </c>
      <c r="E16" s="10" t="n">
        <v>1</v>
      </c>
      <c r="F16" s="10" t="n">
        <v>0</v>
      </c>
      <c r="G16" s="10" t="n">
        <v>0</v>
      </c>
      <c r="H16" s="10" t="n">
        <v>0</v>
      </c>
      <c r="I16" s="10" t="n">
        <v>1</v>
      </c>
      <c r="J16" s="13" t="n">
        <v>0.333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134</v>
      </c>
      <c r="B17" s="5" t="s">
        <v>49</v>
      </c>
      <c r="C17" s="10" t="n">
        <v>1</v>
      </c>
      <c r="D17" s="10" t="n">
        <v>3</v>
      </c>
      <c r="E17" s="10" t="n">
        <v>1</v>
      </c>
      <c r="F17" s="10" t="n">
        <v>1</v>
      </c>
      <c r="G17" s="10" t="n">
        <v>0</v>
      </c>
      <c r="H17" s="10" t="n">
        <v>0</v>
      </c>
      <c r="I17" s="10" t="n">
        <v>1</v>
      </c>
      <c r="J17" s="13" t="n">
        <v>0.5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135</v>
      </c>
      <c r="B18" s="5" t="s">
        <v>49</v>
      </c>
      <c r="C18" s="10" t="n">
        <v>2</v>
      </c>
      <c r="D18" s="10" t="n">
        <v>4</v>
      </c>
      <c r="E18" s="10" t="n">
        <v>2</v>
      </c>
      <c r="F18" s="10" t="n">
        <v>1</v>
      </c>
      <c r="G18" s="10" t="n">
        <v>0</v>
      </c>
      <c r="H18" s="10" t="n">
        <v>0</v>
      </c>
      <c r="I18" s="10" t="n">
        <v>0</v>
      </c>
      <c r="J18" s="13" t="n">
        <v>0.5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136</v>
      </c>
      <c r="B19" s="5" t="s">
        <v>49</v>
      </c>
      <c r="C19" s="10" t="n">
        <v>3</v>
      </c>
      <c r="D19" s="10" t="n">
        <v>10</v>
      </c>
      <c r="E19" s="10" t="n">
        <v>2</v>
      </c>
      <c r="F19" s="10" t="n">
        <v>0</v>
      </c>
      <c r="G19" s="10" t="n">
        <v>0</v>
      </c>
      <c r="H19" s="10" t="n">
        <v>0</v>
      </c>
      <c r="I19" s="10" t="n">
        <v>0</v>
      </c>
      <c r="J19" s="13" t="n">
        <v>0.222</v>
      </c>
      <c r="K19" s="17"/>
      <c r="L19" s="10"/>
      <c r="M19" s="10"/>
      <c r="N19" s="18"/>
    </row>
    <row r="20" customFormat="false" ht="15" hidden="false" customHeight="true" outlineLevel="0" collapsed="false">
      <c r="A20" s="5" t="s">
        <v>137</v>
      </c>
      <c r="B20" s="5" t="s">
        <v>49</v>
      </c>
      <c r="C20" s="10" t="n">
        <v>1</v>
      </c>
      <c r="D20" s="10" t="n">
        <v>2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3" t="n">
        <v>0</v>
      </c>
      <c r="K20" s="17"/>
      <c r="L20" s="10"/>
      <c r="M20" s="10"/>
      <c r="N20" s="18"/>
    </row>
    <row r="21" customFormat="false" ht="15" hidden="false" customHeight="false" outlineLevel="0" collapsed="false">
      <c r="A21" s="5" t="s">
        <v>138</v>
      </c>
      <c r="B21" s="5" t="s">
        <v>49</v>
      </c>
      <c r="C21" s="10" t="n">
        <v>1</v>
      </c>
      <c r="D21" s="10" t="n">
        <v>1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3" t="n">
        <v>0</v>
      </c>
      <c r="K21" s="17"/>
      <c r="L21" s="10"/>
      <c r="M21" s="10"/>
      <c r="N21" s="18"/>
    </row>
    <row r="22" customFormat="false" ht="15" hidden="false" customHeight="false" outlineLevel="0" collapsed="false">
      <c r="A22" s="19" t="s">
        <v>139</v>
      </c>
      <c r="B22" s="19" t="s">
        <v>49</v>
      </c>
      <c r="C22" s="20"/>
      <c r="D22" s="20"/>
      <c r="E22" s="20"/>
      <c r="F22" s="20"/>
      <c r="G22" s="20"/>
      <c r="H22" s="20"/>
      <c r="I22" s="20"/>
      <c r="J22" s="20"/>
      <c r="K22" s="21" t="n">
        <v>1</v>
      </c>
      <c r="L22" s="20" t="n">
        <v>0</v>
      </c>
      <c r="M22" s="20" t="n">
        <v>0</v>
      </c>
      <c r="N22" s="22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2026-10-02T06:43:15Z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