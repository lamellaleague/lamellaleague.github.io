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bla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Deejays" sheetId="4" state="visible" r:id="rId4"/>
    <sheet xmlns:r="http://schemas.openxmlformats.org/officeDocument/2006/relationships" name="La Pandilla" sheetId="5" state="visible" r:id="rId5"/>
    <sheet xmlns:r="http://schemas.openxmlformats.org/officeDocument/2006/relationships" name="Cerveceros" sheetId="6" state="visible" r:id="rId6"/>
    <sheet xmlns:r="http://schemas.openxmlformats.org/officeDocument/2006/relationships" name="Fantasí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+0;\-0;0"/>
    <numFmt numFmtId="165" formatCode="0.000"/>
    <numFmt numFmtId="166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DDEFEC"/>
        <bgColor rgb="FFCCFFFF"/>
      </patternFill>
    </fill>
    <fill>
      <patternFill patternType="solid">
        <fgColor rgb="FF14140E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14140E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bottom"/>
    </xf>
    <xf numFmtId="2" fontId="6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166" fontId="6" fillId="2" borderId="0" applyAlignment="1" pivotButton="0" quotePrefix="0" xfId="0">
      <alignment horizontal="center" vertical="bottom"/>
    </xf>
    <xf numFmtId="2" fontId="6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166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bottom"/>
    </xf>
    <xf numFmtId="2" fontId="6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166" fontId="6" fillId="2" borderId="0" applyAlignment="1" pivotButton="0" quotePrefix="0" xfId="0">
      <alignment horizontal="center" vertical="bottom"/>
    </xf>
    <xf numFmtId="2" fontId="6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166" fontId="5" fillId="2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F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140E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00" customWidth="1" style="27" min="2" max="2"/>
  </cols>
  <sheetData>
    <row r="1" ht="19.5" customHeight="1" s="28">
      <c r="A1" s="29" t="inlineStr">
        <is>
          <t>Números del Meracho Senior · La Mella League</t>
        </is>
      </c>
    </row>
    <row r="2"/>
    <row r="3" ht="15" customHeight="1" s="28">
      <c r="A3" s="30" t="inlineStr">
        <is>
          <t>Liga</t>
        </is>
      </c>
      <c r="B3" s="31" t="inlineStr">
        <is>
          <t>Meracho Senior · Temporada 22 · miércoles en el Complejo Deportivo del MEF, Albrook</t>
        </is>
      </c>
    </row>
    <row r="4" ht="15" customHeight="1" s="28">
      <c r="A4" s="30" t="inlineStr">
        <is>
          <t>Corte</t>
        </is>
      </c>
      <c r="B4" s="31" t="inlineStr">
        <is>
          <t>Después de la jornada 2 (miércoles 28 de octubre de 2026)</t>
        </is>
      </c>
    </row>
    <row r="5" ht="15" customHeight="1" s="28">
      <c r="A5" s="30" t="inlineStr">
        <is>
          <t>Desarrollo</t>
        </is>
      </c>
      <c r="B5" s="31" t="inlineStr">
        <is>
          <t>Desarrollo único para La Mella League y Liga Deportiva de Albrook</t>
        </is>
      </c>
    </row>
    <row r="6" ht="23.25" customHeight="1" s="28">
      <c r="A6" s="30" t="n"/>
      <c r="B6" s="31" t="n"/>
    </row>
    <row r="7" ht="23.25" customHeight="1" s="28">
      <c r="A7" s="30" t="inlineStr">
        <is>
          <t>Abreviaturas</t>
        </is>
      </c>
      <c r="B7" s="31" t="n"/>
    </row>
    <row r="8" ht="23.25" customHeight="1" s="28">
      <c r="A8" s="30" t="inlineStr">
        <is>
          <t>JJ</t>
        </is>
      </c>
      <c r="B8" s="32" t="inlineStr">
        <is>
          <t>Juegos jugados</t>
        </is>
      </c>
    </row>
    <row r="9" ht="15" customHeight="1" s="28">
      <c r="A9" s="30" t="inlineStr">
        <is>
          <t>VB</t>
        </is>
      </c>
      <c r="B9" s="32" t="inlineStr">
        <is>
          <t>Veces al bate</t>
        </is>
      </c>
    </row>
    <row r="10" ht="15" customHeight="1" s="28">
      <c r="A10" s="30" t="inlineStr">
        <is>
          <t>H</t>
        </is>
      </c>
      <c r="B10" s="32" t="inlineStr">
        <is>
          <t>Hits</t>
        </is>
      </c>
    </row>
    <row r="11" ht="15" customHeight="1" s="28">
      <c r="A11" s="30" t="inlineStr">
        <is>
          <t>2B</t>
        </is>
      </c>
      <c r="B11" s="32" t="inlineStr">
        <is>
          <t>Dobles</t>
        </is>
      </c>
    </row>
    <row r="12" ht="15" customHeight="1" s="28">
      <c r="A12" s="30" t="inlineStr">
        <is>
          <t>3B</t>
        </is>
      </c>
      <c r="B12" s="32" t="inlineStr">
        <is>
          <t>Triples</t>
        </is>
      </c>
    </row>
    <row r="13" ht="15" customHeight="1" s="28">
      <c r="A13" s="30" t="inlineStr">
        <is>
          <t>HR</t>
        </is>
      </c>
      <c r="B13" s="32" t="inlineStr">
        <is>
          <t>Jonrones</t>
        </is>
      </c>
    </row>
    <row r="14" ht="15" customHeight="1" s="28">
      <c r="A14" s="30" t="inlineStr">
        <is>
          <t>CI</t>
        </is>
      </c>
      <c r="B14" s="32" t="inlineStr">
        <is>
          <t>Carreras impulsadas</t>
        </is>
      </c>
    </row>
    <row r="15" ht="15" customHeight="1" s="28">
      <c r="A15" s="30" t="inlineStr">
        <is>
          <t>PRO</t>
        </is>
      </c>
      <c r="B15" s="32" t="inlineStr">
        <is>
          <t>Promedio de bateo</t>
        </is>
      </c>
    </row>
    <row r="16" ht="15" customHeight="1" s="28">
      <c r="A16" s="30" t="inlineStr">
        <is>
          <t>EL</t>
        </is>
      </c>
      <c r="B16" s="32" t="inlineStr">
        <is>
          <t>Entradas lanzadas</t>
        </is>
      </c>
    </row>
    <row r="17" ht="15" customHeight="1" s="28">
      <c r="A17" s="30" t="inlineStr">
        <is>
          <t>JG</t>
        </is>
      </c>
      <c r="B17" s="32" t="inlineStr">
        <is>
          <t>Juegos ganados</t>
        </is>
      </c>
    </row>
    <row r="18" ht="15" customHeight="1" s="28">
      <c r="A18" s="30" t="inlineStr">
        <is>
          <t>K</t>
        </is>
      </c>
      <c r="B18" s="32" t="inlineStr">
        <is>
          <t>Ponches</t>
        </is>
      </c>
    </row>
    <row r="19" ht="15" customHeight="1" s="28">
      <c r="A19" s="30" t="inlineStr">
        <is>
          <t>EFE</t>
        </is>
      </c>
      <c r="B19" s="32" t="inlineStr">
        <is>
          <t>Efectividad sobre 7 entradas</t>
        </is>
      </c>
    </row>
    <row r="20" ht="15" customHeight="1" s="28">
      <c r="A20" s="30" t="n"/>
      <c r="B20" s="32" t="n"/>
    </row>
    <row r="21" ht="15" customHeight="1" s="28">
      <c r="A21" s="30" t="inlineStr">
        <is>
          <t>Página</t>
        </is>
      </c>
      <c r="B21" s="32" t="inlineStr">
        <is>
          <t>lamellaleague.github.io · calendarios, tablas y números de todas las ligas</t>
        </is>
      </c>
    </row>
    <row r="22" ht="15" customHeight="1" s="28">
      <c r="A22" s="33" t="n"/>
      <c r="B22" s="34" t="n"/>
    </row>
    <row r="23" ht="15" customHeight="1" s="28">
      <c r="A23" s="33" t="n"/>
      <c r="B23" s="34" t="n"/>
    </row>
    <row r="24" ht="15" customHeight="1" s="28">
      <c r="A24" s="33" t="n"/>
      <c r="B24" s="34" t="n"/>
    </row>
    <row r="25" ht="23.25" customHeight="1" s="28">
      <c r="A25" s="33" t="n"/>
      <c r="B25" s="34" t="n"/>
    </row>
    <row r="26" ht="15" customHeight="1" s="28">
      <c r="A26" s="33" t="n"/>
      <c r="B26" s="34" t="n"/>
    </row>
    <row r="27" ht="15" customHeight="1" s="28">
      <c r="A27" s="33" t="n"/>
      <c r="B27" s="34" t="n"/>
    </row>
    <row r="28" ht="23.25" customHeight="1" s="28">
      <c r="A28" s="33" t="n"/>
      <c r="B28" s="34" t="n"/>
    </row>
    <row r="29" ht="15" customHeight="1" s="2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18" customWidth="1" style="27" min="2" max="2"/>
    <col width="6" customWidth="1" style="27" min="3" max="7"/>
    <col width="7" customWidth="1" style="27" min="8" max="8"/>
    <col width="8" customWidth="1" style="27" min="9" max="9"/>
  </cols>
  <sheetData>
    <row r="1" ht="19.5" customHeight="1" s="28">
      <c r="A1" s="29" t="inlineStr">
        <is>
          <t>Tabla de posiciones</t>
        </is>
      </c>
    </row>
    <row r="2" ht="15" customHeight="1" s="28">
      <c r="A2" s="35" t="inlineStr">
        <is>
          <t>Se calcula sola desde la hoja «Resultados». El orden sigue el reglamento de desempates de La Mella y se revisa cada semana.</t>
        </is>
      </c>
    </row>
    <row r="3"/>
    <row r="4" ht="15" customHeight="1" s="28">
      <c r="A4" s="36" t="inlineStr">
        <is>
          <t>#</t>
        </is>
      </c>
      <c r="B4" s="36" t="inlineStr">
        <is>
          <t>Equipo</t>
        </is>
      </c>
      <c r="C4" s="36" t="inlineStr">
        <is>
          <t>JJ</t>
        </is>
      </c>
      <c r="D4" s="36" t="inlineStr">
        <is>
          <t>G</t>
        </is>
      </c>
      <c r="E4" s="36" t="inlineStr">
        <is>
          <t>P</t>
        </is>
      </c>
      <c r="F4" s="36" t="inlineStr">
        <is>
          <t>CA</t>
        </is>
      </c>
      <c r="G4" s="36" t="inlineStr">
        <is>
          <t>CP</t>
        </is>
      </c>
      <c r="H4" s="36" t="inlineStr">
        <is>
          <t>DIF</t>
        </is>
      </c>
      <c r="I4" s="36" t="inlineStr">
        <is>
          <t>PCT</t>
        </is>
      </c>
    </row>
    <row r="5" ht="15" customHeight="1" s="28">
      <c r="A5" s="37" t="inlineStr">
        <is>
          <t>1</t>
        </is>
      </c>
      <c r="B5" s="38" t="inlineStr">
        <is>
          <t>La Pandilla</t>
        </is>
      </c>
      <c r="C5" s="37">
        <f>COUNTIF(Resultados!$D$5:$D$200,$B5)+COUNTIF(Resultados!$F$5:$F$200,$B5)</f>
        <v/>
      </c>
      <c r="D5" s="37">
        <f>SUMPRODUCT((Resultados!$D$5:$D$200=$B5)*(Resultados!$E$5:$E$200&gt;Resultados!$G$5:$G$200))+SUMPRODUCT((Resultados!$F$5:$F$200=$B5)*(Resultados!$G$5:$G$200&gt;Resultados!$E$5:$E$200))</f>
        <v/>
      </c>
      <c r="E5" s="37">
        <f>SUMPRODUCT((Resultados!$D$5:$D$200=$B5)*(Resultados!$E$5:$E$200&lt;Resultados!$G$5:$G$200))+SUMPRODUCT((Resultados!$F$5:$F$200=$B5)*(Resultados!$G$5:$G$200&lt;Resultados!$E$5:$E$200))</f>
        <v/>
      </c>
      <c r="F5" s="37">
        <f>SUMIF(Resultados!$D$5:$D$200,$B5,Resultados!$E$5:$E$200)+SUMIF(Resultados!$F$5:$F$200,$B5,Resultados!$G$5:$G$200)</f>
        <v/>
      </c>
      <c r="G5" s="37">
        <f>SUMIF(Resultados!$D$5:$D$200,$B5,Resultados!$G$5:$G$200)+SUMIF(Resultados!$F$5:$F$200,$B5,Resultados!$E$5:$E$200)</f>
        <v/>
      </c>
      <c r="H5" s="39">
        <f>F5-G5</f>
        <v/>
      </c>
      <c r="I5" s="40">
        <f>IF(C5=0,"",D5/C5)</f>
        <v/>
      </c>
    </row>
    <row r="6" ht="15" customHeight="1" s="28">
      <c r="A6" s="37" t="inlineStr">
        <is>
          <t>2</t>
        </is>
      </c>
      <c r="B6" s="38" t="inlineStr">
        <is>
          <t>Deejays</t>
        </is>
      </c>
      <c r="C6" s="37">
        <f>COUNTIF(Resultados!$D$5:$D$200,$B6)+COUNTIF(Resultados!$F$5:$F$200,$B6)</f>
        <v/>
      </c>
      <c r="D6" s="37">
        <f>SUMPRODUCT((Resultados!$D$5:$D$200=$B6)*(Resultados!$E$5:$E$200&gt;Resultados!$G$5:$G$200))+SUMPRODUCT((Resultados!$F$5:$F$200=$B6)*(Resultados!$G$5:$G$200&gt;Resultados!$E$5:$E$200))</f>
        <v/>
      </c>
      <c r="E6" s="37">
        <f>SUMPRODUCT((Resultados!$D$5:$D$200=$B6)*(Resultados!$E$5:$E$200&lt;Resultados!$G$5:$G$200))+SUMPRODUCT((Resultados!$F$5:$F$200=$B6)*(Resultados!$G$5:$G$200&lt;Resultados!$E$5:$E$200))</f>
        <v/>
      </c>
      <c r="F6" s="37">
        <f>SUMIF(Resultados!$D$5:$D$200,$B6,Resultados!$E$5:$E$200)+SUMIF(Resultados!$F$5:$F$200,$B6,Resultados!$G$5:$G$200)</f>
        <v/>
      </c>
      <c r="G6" s="37">
        <f>SUMIF(Resultados!$D$5:$D$200,$B6,Resultados!$G$5:$G$200)+SUMIF(Resultados!$F$5:$F$200,$B6,Resultados!$E$5:$E$200)</f>
        <v/>
      </c>
      <c r="H6" s="39">
        <f>F6-G6</f>
        <v/>
      </c>
      <c r="I6" s="40">
        <f>IF(C6=0,"",D6/C6)</f>
        <v/>
      </c>
    </row>
    <row r="7" ht="15" customHeight="1" s="28">
      <c r="A7" s="37" t="inlineStr">
        <is>
          <t>3</t>
        </is>
      </c>
      <c r="B7" s="38" t="inlineStr">
        <is>
          <t>Fantasía</t>
        </is>
      </c>
      <c r="C7" s="37">
        <f>COUNTIF(Resultados!$D$5:$D$200,$B7)+COUNTIF(Resultados!$F$5:$F$200,$B7)</f>
        <v/>
      </c>
      <c r="D7" s="37">
        <f>SUMPRODUCT((Resultados!$D$5:$D$200=$B7)*(Resultados!$E$5:$E$200&gt;Resultados!$G$5:$G$200))+SUMPRODUCT((Resultados!$F$5:$F$200=$B7)*(Resultados!$G$5:$G$200&gt;Resultados!$E$5:$E$200))</f>
        <v/>
      </c>
      <c r="E7" s="37">
        <f>SUMPRODUCT((Resultados!$D$5:$D$200=$B7)*(Resultados!$E$5:$E$200&lt;Resultados!$G$5:$G$200))+SUMPRODUCT((Resultados!$F$5:$F$200=$B7)*(Resultados!$G$5:$G$200&lt;Resultados!$E$5:$E$200))</f>
        <v/>
      </c>
      <c r="F7" s="37">
        <f>SUMIF(Resultados!$D$5:$D$200,$B7,Resultados!$E$5:$E$200)+SUMIF(Resultados!$F$5:$F$200,$B7,Resultados!$G$5:$G$200)</f>
        <v/>
      </c>
      <c r="G7" s="37">
        <f>SUMIF(Resultados!$D$5:$D$200,$B7,Resultados!$G$5:$G$200)+SUMIF(Resultados!$F$5:$F$200,$B7,Resultados!$E$5:$E$200)</f>
        <v/>
      </c>
      <c r="H7" s="39">
        <f>F7-G7</f>
        <v/>
      </c>
      <c r="I7" s="40">
        <f>IF(C7=0,"",D7/C7)</f>
        <v/>
      </c>
    </row>
    <row r="8" ht="15" customHeight="1" s="28">
      <c r="A8" s="37" t="inlineStr">
        <is>
          <t>4</t>
        </is>
      </c>
      <c r="B8" s="38" t="inlineStr">
        <is>
          <t>Cerveceros</t>
        </is>
      </c>
      <c r="C8" s="37">
        <f>COUNTIF(Resultados!$D$5:$D$200,$B8)+COUNTIF(Resultados!$F$5:$F$200,$B8)</f>
        <v/>
      </c>
      <c r="D8" s="37">
        <f>SUMPRODUCT((Resultados!$D$5:$D$200=$B8)*(Resultados!$E$5:$E$200&gt;Resultados!$G$5:$G$200))+SUMPRODUCT((Resultados!$F$5:$F$200=$B8)*(Resultados!$G$5:$G$200&gt;Resultados!$E$5:$E$200))</f>
        <v/>
      </c>
      <c r="E8" s="37">
        <f>SUMPRODUCT((Resultados!$D$5:$D$200=$B8)*(Resultados!$E$5:$E$200&lt;Resultados!$G$5:$G$200))+SUMPRODUCT((Resultados!$F$5:$F$200=$B8)*(Resultados!$G$5:$G$200&lt;Resultados!$E$5:$E$200))</f>
        <v/>
      </c>
      <c r="F8" s="37">
        <f>SUMIF(Resultados!$D$5:$D$200,$B8,Resultados!$E$5:$E$200)+SUMIF(Resultados!$F$5:$F$200,$B8,Resultados!$G$5:$G$200)</f>
        <v/>
      </c>
      <c r="G8" s="37">
        <f>SUMIF(Resultados!$D$5:$D$200,$B8,Resultados!$G$5:$G$200)+SUMIF(Resultados!$F$5:$F$200,$B8,Resultados!$E$5:$E$200)</f>
        <v/>
      </c>
      <c r="H8" s="39">
        <f>F8-G8</f>
        <v/>
      </c>
      <c r="I8" s="40">
        <f>IF(C8=0,"",D8/C8)</f>
        <v/>
      </c>
    </row>
    <row r="9" ht="15" customHeight="1" s="28"/>
    <row r="10"/>
    <row r="11" ht="15" customHeight="1" s="28">
      <c r="A11" s="35" t="inlineStr">
        <is>
          <t>Después de la jornada 2: La Pandilla 2-0; Deejays y Fantasía 1-1; Cerveceros 0-2. Deejays va delante de Fantasía porque le ganó el juego entre ellos (15-10, J1), primer criterio de desempate del reglamento (7.3 a). Jornada 3, miércoles 11 de noviembre: 7:30 Fantasía vs La Pandilla · 9:00 Cerveceros vs Deejays. El mié 4 nov no hay juegos (fiestas patrias).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12" customWidth="1" style="27" min="2" max="2"/>
    <col width="9" customWidth="1" style="27" min="3" max="3"/>
    <col width="18" customWidth="1" style="27" min="4" max="4"/>
    <col width="6" customWidth="1" style="27" min="5" max="5"/>
    <col width="18" customWidth="1" style="27" min="6" max="6"/>
    <col width="6" customWidth="1" style="27" min="7" max="7"/>
    <col width="10" customWidth="1" style="27" min="8" max="8"/>
  </cols>
  <sheetData>
    <row r="1" ht="19.5" customHeight="1" s="28">
      <c r="A1" s="29" t="inlineStr">
        <is>
          <t>Resultados</t>
        </is>
      </c>
    </row>
    <row r="2" ht="15" customHeight="1" s="28">
      <c r="A2" s="35" t="inlineStr">
        <is>
          <t>Marcador final de cada juego.</t>
        </is>
      </c>
    </row>
    <row r="4" ht="15" customHeight="1" s="28">
      <c r="A4" s="36" t="inlineStr">
        <is>
          <t>Jornada</t>
        </is>
      </c>
      <c r="B4" s="36" t="inlineStr">
        <is>
          <t>Fecha</t>
        </is>
      </c>
      <c r="C4" s="36" t="inlineStr">
        <is>
          <t>Hora</t>
        </is>
      </c>
      <c r="D4" s="36" t="inlineStr">
        <is>
          <t>Visitante</t>
        </is>
      </c>
      <c r="E4" s="36" t="inlineStr">
        <is>
          <t>C</t>
        </is>
      </c>
      <c r="F4" s="36" t="inlineStr">
        <is>
          <t>Local</t>
        </is>
      </c>
      <c r="G4" s="36" t="inlineStr">
        <is>
          <t>C</t>
        </is>
      </c>
      <c r="H4" s="36" t="inlineStr">
        <is>
          <t>Entradas</t>
        </is>
      </c>
    </row>
    <row r="5" ht="15" customHeight="1" s="28">
      <c r="A5" s="37" t="n">
        <v>1</v>
      </c>
      <c r="B5" s="37" t="inlineStr">
        <is>
          <t>mié 21 oct</t>
        </is>
      </c>
      <c r="C5" s="37" t="inlineStr">
        <is>
          <t>7:30 pm</t>
        </is>
      </c>
      <c r="D5" s="41" t="inlineStr">
        <is>
          <t>Deejays</t>
        </is>
      </c>
      <c r="E5" s="37" t="n">
        <v>15</v>
      </c>
      <c r="F5" s="41" t="inlineStr">
        <is>
          <t>Fantasía</t>
        </is>
      </c>
      <c r="G5" s="37" t="n">
        <v>10</v>
      </c>
      <c r="H5" s="37" t="n">
        <v>5</v>
      </c>
    </row>
    <row r="6" ht="15" customHeight="1" s="28">
      <c r="A6" s="37" t="n">
        <v>1</v>
      </c>
      <c r="B6" s="37" t="inlineStr">
        <is>
          <t>mié 21 oct</t>
        </is>
      </c>
      <c r="C6" s="37" t="inlineStr">
        <is>
          <t>9:00 pm</t>
        </is>
      </c>
      <c r="D6" s="41" t="inlineStr">
        <is>
          <t>La Pandilla</t>
        </is>
      </c>
      <c r="E6" s="37" t="n">
        <v>13</v>
      </c>
      <c r="F6" s="41" t="inlineStr">
        <is>
          <t>Cerveceros</t>
        </is>
      </c>
      <c r="G6" s="37" t="n">
        <v>10</v>
      </c>
      <c r="H6" s="37" t="n">
        <v>4</v>
      </c>
    </row>
    <row r="7" ht="15" customHeight="1" s="28">
      <c r="A7" s="37" t="n">
        <v>2</v>
      </c>
      <c r="B7" s="37" t="inlineStr">
        <is>
          <t>mié 28 oct</t>
        </is>
      </c>
      <c r="C7" s="37" t="inlineStr">
        <is>
          <t>7:30 pm</t>
        </is>
      </c>
      <c r="D7" s="41" t="inlineStr">
        <is>
          <t>Fantasía</t>
        </is>
      </c>
      <c r="E7" s="37" t="n">
        <v>13</v>
      </c>
      <c r="F7" s="41" t="inlineStr">
        <is>
          <t>Cerveceros</t>
        </is>
      </c>
      <c r="G7" s="37" t="n">
        <v>3</v>
      </c>
      <c r="H7" s="37" t="n">
        <v>5</v>
      </c>
    </row>
    <row r="8" ht="15" customHeight="1" s="28">
      <c r="A8" s="37" t="n">
        <v>2</v>
      </c>
      <c r="B8" s="37" t="inlineStr">
        <is>
          <t>mié 28 oct</t>
        </is>
      </c>
      <c r="C8" s="37" t="inlineStr">
        <is>
          <t>9:00 pm</t>
        </is>
      </c>
      <c r="D8" s="41" t="inlineStr">
        <is>
          <t>Deejays</t>
        </is>
      </c>
      <c r="E8" s="37" t="n">
        <v>6</v>
      </c>
      <c r="F8" s="41" t="inlineStr">
        <is>
          <t>La Pandilla</t>
        </is>
      </c>
      <c r="G8" s="37" t="n">
        <v>7</v>
      </c>
      <c r="H8" s="37" t="n">
        <v>6</v>
      </c>
    </row>
    <row r="9" ht="15" customHeight="1" s="28">
      <c r="A9" s="37" t="n"/>
      <c r="B9" s="37" t="n"/>
      <c r="C9" s="37" t="n"/>
      <c r="D9" s="41" t="n"/>
      <c r="E9" s="37" t="n"/>
      <c r="F9" s="41" t="n"/>
      <c r="G9" s="37" t="n"/>
      <c r="H9" s="37" t="n"/>
    </row>
    <row r="10" ht="15" customHeight="1" s="28">
      <c r="A10" s="37" t="n"/>
      <c r="B10" s="37" t="n"/>
      <c r="C10" s="37" t="n"/>
      <c r="D10" s="41" t="n"/>
      <c r="E10" s="37" t="n"/>
      <c r="F10" s="41" t="n"/>
      <c r="G10" s="37" t="n"/>
      <c r="H10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16" customWidth="1" style="27" min="2" max="2"/>
    <col width="6" customWidth="1" style="27" min="3" max="9"/>
    <col width="8" customWidth="1" style="27" min="10" max="10"/>
    <col width="6" customWidth="1" style="27" min="11" max="13"/>
    <col width="8" customWidth="1" style="27" min="14" max="14"/>
  </cols>
  <sheetData>
    <row r="1" ht="19.5" customHeight="1" s="28">
      <c r="A1" s="29" t="inlineStr">
        <is>
          <t>Deejays</t>
        </is>
      </c>
    </row>
    <row r="2" ht="15" customHeight="1" s="28">
      <c r="A2" s="35" t="inlineStr">
        <is>
          <t>Meracho Senior · Temporada 22 · corte después de la jornada 2 (miércoles 28 oct 2026)</t>
        </is>
      </c>
    </row>
    <row r="4" ht="19.5" customHeight="1" s="28">
      <c r="A4" s="42" t="inlineStr">
        <is>
          <t>Jugador</t>
        </is>
      </c>
      <c r="B4" s="42" t="inlineStr">
        <is>
          <t>Equipo</t>
        </is>
      </c>
      <c r="C4" s="43" t="inlineStr">
        <is>
          <t>JJ</t>
        </is>
      </c>
      <c r="D4" s="43" t="inlineStr">
        <is>
          <t>VB</t>
        </is>
      </c>
      <c r="E4" s="43" t="inlineStr">
        <is>
          <t>H</t>
        </is>
      </c>
      <c r="F4" s="43" t="inlineStr">
        <is>
          <t>2B</t>
        </is>
      </c>
      <c r="G4" s="43" t="inlineStr">
        <is>
          <t>3B</t>
        </is>
      </c>
      <c r="H4" s="43" t="inlineStr">
        <is>
          <t>HR</t>
        </is>
      </c>
      <c r="I4" s="43" t="inlineStr">
        <is>
          <t>CI</t>
        </is>
      </c>
      <c r="J4" s="43" t="inlineStr">
        <is>
          <t>PRO</t>
        </is>
      </c>
      <c r="K4" s="43" t="inlineStr">
        <is>
          <t>EL</t>
        </is>
      </c>
      <c r="L4" s="43" t="inlineStr">
        <is>
          <t>JG</t>
        </is>
      </c>
      <c r="M4" s="43" t="inlineStr">
        <is>
          <t>K</t>
        </is>
      </c>
      <c r="N4" s="43" t="inlineStr">
        <is>
          <t>EFE</t>
        </is>
      </c>
    </row>
    <row r="5" ht="15" customHeight="1" s="28">
      <c r="A5" s="32" t="inlineStr">
        <is>
          <t>Kenny Van Gómez</t>
        </is>
      </c>
      <c r="B5" s="32" t="inlineStr">
        <is>
          <t>Deejays</t>
        </is>
      </c>
      <c r="C5" s="37" t="n">
        <v>2</v>
      </c>
      <c r="D5" s="37" t="n">
        <v>4</v>
      </c>
      <c r="E5" s="37" t="n">
        <v>4</v>
      </c>
      <c r="F5" s="37" t="n">
        <v>3</v>
      </c>
      <c r="G5" s="37" t="n">
        <v>0</v>
      </c>
      <c r="H5" s="37" t="n">
        <v>0</v>
      </c>
      <c r="I5" s="37" t="n">
        <v>3</v>
      </c>
      <c r="J5" s="40" t="n">
        <v>1</v>
      </c>
      <c r="K5" s="44" t="n"/>
      <c r="L5" s="37" t="n"/>
      <c r="M5" s="37" t="n"/>
      <c r="N5" s="45" t="n"/>
    </row>
    <row r="6" ht="15" customHeight="1" s="28">
      <c r="A6" s="32" t="inlineStr">
        <is>
          <t>José Terriente</t>
        </is>
      </c>
      <c r="B6" s="32" t="inlineStr">
        <is>
          <t>Deejays</t>
        </is>
      </c>
      <c r="C6" s="37" t="n">
        <v>2</v>
      </c>
      <c r="D6" s="37" t="n">
        <v>5</v>
      </c>
      <c r="E6" s="37" t="n">
        <v>3</v>
      </c>
      <c r="F6" s="37" t="n">
        <v>2</v>
      </c>
      <c r="G6" s="37" t="n">
        <v>0</v>
      </c>
      <c r="H6" s="37" t="n">
        <v>0</v>
      </c>
      <c r="I6" s="37" t="n">
        <v>3</v>
      </c>
      <c r="J6" s="40" t="n">
        <v>0.6</v>
      </c>
      <c r="K6" s="44" t="n"/>
      <c r="L6" s="37" t="n"/>
      <c r="M6" s="37" t="n"/>
      <c r="N6" s="45" t="n"/>
    </row>
    <row r="7" ht="15" customHeight="1" s="28">
      <c r="A7" s="32" t="inlineStr">
        <is>
          <t>Roberto Villareal</t>
        </is>
      </c>
      <c r="B7" s="32" t="inlineStr">
        <is>
          <t>Deejays</t>
        </is>
      </c>
      <c r="C7" s="37" t="n">
        <v>2</v>
      </c>
      <c r="D7" s="37" t="n">
        <v>4</v>
      </c>
      <c r="E7" s="37" t="n">
        <v>3</v>
      </c>
      <c r="F7" s="37" t="n">
        <v>0</v>
      </c>
      <c r="G7" s="37" t="n">
        <v>1</v>
      </c>
      <c r="H7" s="37" t="n">
        <v>0</v>
      </c>
      <c r="I7" s="37" t="n">
        <v>3</v>
      </c>
      <c r="J7" s="40" t="n">
        <v>0.75</v>
      </c>
      <c r="K7" s="44" t="n"/>
      <c r="L7" s="37" t="n"/>
      <c r="M7" s="37" t="n"/>
      <c r="N7" s="45" t="n"/>
    </row>
    <row r="8" ht="15" customHeight="1" s="28">
      <c r="A8" s="32" t="inlineStr">
        <is>
          <t>José Delgado</t>
        </is>
      </c>
      <c r="B8" s="32" t="inlineStr">
        <is>
          <t>Deejays</t>
        </is>
      </c>
      <c r="C8" s="37" t="n">
        <v>2</v>
      </c>
      <c r="D8" s="37" t="n">
        <v>7</v>
      </c>
      <c r="E8" s="37" t="n">
        <v>2</v>
      </c>
      <c r="F8" s="37" t="n">
        <v>1</v>
      </c>
      <c r="G8" s="37" t="n">
        <v>0</v>
      </c>
      <c r="H8" s="37" t="n">
        <v>0</v>
      </c>
      <c r="I8" s="37" t="n">
        <v>3</v>
      </c>
      <c r="J8" s="40" t="n">
        <v>0.286</v>
      </c>
      <c r="K8" s="44" t="n"/>
      <c r="L8" s="37" t="n"/>
      <c r="M8" s="37" t="n"/>
      <c r="N8" s="45" t="n"/>
    </row>
    <row r="9" ht="15" customHeight="1" s="28">
      <c r="A9" s="32" t="inlineStr">
        <is>
          <t>Diomedes Frias</t>
        </is>
      </c>
      <c r="B9" s="32" t="inlineStr">
        <is>
          <t>Deejays</t>
        </is>
      </c>
      <c r="C9" s="37" t="n">
        <v>2</v>
      </c>
      <c r="D9" s="37" t="n">
        <v>4</v>
      </c>
      <c r="E9" s="37" t="n">
        <v>3</v>
      </c>
      <c r="F9" s="37" t="n">
        <v>1</v>
      </c>
      <c r="G9" s="37" t="n">
        <v>1</v>
      </c>
      <c r="H9" s="37" t="n">
        <v>0</v>
      </c>
      <c r="I9" s="37" t="n">
        <v>2</v>
      </c>
      <c r="J9" s="40" t="n">
        <v>0.75</v>
      </c>
      <c r="K9" s="44" t="n"/>
      <c r="L9" s="37" t="n"/>
      <c r="M9" s="37" t="n"/>
      <c r="N9" s="45" t="n"/>
    </row>
    <row r="10" ht="15" customHeight="1" s="28">
      <c r="A10" s="32" t="inlineStr">
        <is>
          <t>Adrián Cabezas</t>
        </is>
      </c>
      <c r="B10" s="32" t="inlineStr">
        <is>
          <t>Deejays</t>
        </is>
      </c>
      <c r="C10" s="37" t="n">
        <v>2</v>
      </c>
      <c r="D10" s="37" t="n">
        <v>5</v>
      </c>
      <c r="E10" s="37" t="n">
        <v>2</v>
      </c>
      <c r="F10" s="37" t="n">
        <v>1</v>
      </c>
      <c r="G10" s="37" t="n">
        <v>1</v>
      </c>
      <c r="H10" s="37" t="n">
        <v>0</v>
      </c>
      <c r="I10" s="37" t="n">
        <v>2</v>
      </c>
      <c r="J10" s="40" t="n">
        <v>0.4</v>
      </c>
      <c r="K10" s="44" t="n"/>
      <c r="L10" s="37" t="n"/>
      <c r="M10" s="37" t="n"/>
      <c r="N10" s="45" t="n"/>
    </row>
    <row r="11" ht="15" customHeight="1" s="28">
      <c r="A11" s="32" t="inlineStr">
        <is>
          <t>Tomás Guerra</t>
        </is>
      </c>
      <c r="B11" s="32" t="inlineStr">
        <is>
          <t>Deejays</t>
        </is>
      </c>
      <c r="C11" s="37" t="n">
        <v>1</v>
      </c>
      <c r="D11" s="37" t="n">
        <v>2</v>
      </c>
      <c r="E11" s="37" t="n">
        <v>1</v>
      </c>
      <c r="F11" s="37" t="n">
        <v>0</v>
      </c>
      <c r="G11" s="37" t="n">
        <v>0</v>
      </c>
      <c r="H11" s="37" t="n">
        <v>0</v>
      </c>
      <c r="I11" s="37" t="n">
        <v>2</v>
      </c>
      <c r="J11" s="40" t="n">
        <v>0.5</v>
      </c>
      <c r="K11" s="44" t="n"/>
      <c r="L11" s="37" t="n"/>
      <c r="M11" s="37" t="n"/>
      <c r="N11" s="45" t="n"/>
    </row>
    <row r="12" ht="15" customHeight="1" s="28">
      <c r="A12" s="32" t="inlineStr">
        <is>
          <t>Jorge Chevez</t>
        </is>
      </c>
      <c r="B12" s="32" t="inlineStr">
        <is>
          <t>Deejays</t>
        </is>
      </c>
      <c r="C12" s="37" t="n">
        <v>2</v>
      </c>
      <c r="D12" s="37" t="n">
        <v>6</v>
      </c>
      <c r="E12" s="37" t="n">
        <v>3</v>
      </c>
      <c r="F12" s="37" t="n">
        <v>2</v>
      </c>
      <c r="G12" s="37" t="n">
        <v>0</v>
      </c>
      <c r="H12" s="37" t="n">
        <v>0</v>
      </c>
      <c r="I12" s="37" t="n">
        <v>1</v>
      </c>
      <c r="J12" s="40" t="n">
        <v>0.5</v>
      </c>
      <c r="K12" s="44" t="n"/>
      <c r="L12" s="37" t="n"/>
      <c r="M12" s="37" t="n"/>
      <c r="N12" s="45" t="n"/>
    </row>
    <row r="13" ht="15" customHeight="1" s="28">
      <c r="A13" s="32" t="inlineStr">
        <is>
          <t>Abi Vargas</t>
        </is>
      </c>
      <c r="B13" s="32" t="inlineStr">
        <is>
          <t>Deejays</t>
        </is>
      </c>
      <c r="C13" s="37" t="n">
        <v>1</v>
      </c>
      <c r="D13" s="37" t="n">
        <v>3</v>
      </c>
      <c r="E13" s="37" t="n">
        <v>1</v>
      </c>
      <c r="F13" s="37" t="n">
        <v>0</v>
      </c>
      <c r="G13" s="37" t="n">
        <v>1</v>
      </c>
      <c r="H13" s="37" t="n">
        <v>0</v>
      </c>
      <c r="I13" s="37" t="n">
        <v>1</v>
      </c>
      <c r="J13" s="40" t="n">
        <v>0.333</v>
      </c>
      <c r="K13" s="44" t="n"/>
      <c r="L13" s="37" t="n"/>
      <c r="M13" s="37" t="n"/>
      <c r="N13" s="45" t="n"/>
    </row>
    <row r="14" ht="15" customHeight="1" s="28">
      <c r="A14" s="32" t="inlineStr">
        <is>
          <t>Roger Flores</t>
        </is>
      </c>
      <c r="B14" s="32" t="inlineStr">
        <is>
          <t>Deejays</t>
        </is>
      </c>
      <c r="C14" s="37" t="n">
        <v>2</v>
      </c>
      <c r="D14" s="37" t="n">
        <v>5</v>
      </c>
      <c r="E14" s="37" t="n">
        <v>0</v>
      </c>
      <c r="F14" s="37" t="n">
        <v>0</v>
      </c>
      <c r="G14" s="37" t="n">
        <v>0</v>
      </c>
      <c r="H14" s="37" t="n">
        <v>0</v>
      </c>
      <c r="I14" s="37" t="n">
        <v>1</v>
      </c>
      <c r="J14" s="40" t="n">
        <v>0</v>
      </c>
      <c r="K14" s="44" t="n"/>
      <c r="L14" s="37" t="n"/>
      <c r="M14" s="37" t="n"/>
      <c r="N14" s="45" t="n"/>
    </row>
    <row r="15" ht="15" customHeight="1" s="28">
      <c r="A15" s="32" t="inlineStr">
        <is>
          <t>Tomás Guerra Jr</t>
        </is>
      </c>
      <c r="B15" s="32" t="inlineStr">
        <is>
          <t>Deejays</t>
        </is>
      </c>
      <c r="C15" s="37" t="n">
        <v>2</v>
      </c>
      <c r="D15" s="37" t="n">
        <v>6</v>
      </c>
      <c r="E15" s="37" t="n">
        <v>3</v>
      </c>
      <c r="F15" s="37" t="n">
        <v>0</v>
      </c>
      <c r="G15" s="37" t="n">
        <v>0</v>
      </c>
      <c r="H15" s="37" t="n">
        <v>0</v>
      </c>
      <c r="I15" s="37" t="n">
        <v>0</v>
      </c>
      <c r="J15" s="40" t="n">
        <v>0.5</v>
      </c>
      <c r="K15" s="44" t="n"/>
      <c r="L15" s="37" t="n"/>
      <c r="M15" s="37" t="n"/>
      <c r="N15" s="45" t="n"/>
    </row>
    <row r="16" ht="15" customHeight="1" s="28">
      <c r="A16" s="32" t="inlineStr">
        <is>
          <t>Mickey Sánchez</t>
        </is>
      </c>
      <c r="B16" s="32" t="inlineStr">
        <is>
          <t>Deejays</t>
        </is>
      </c>
      <c r="C16" s="37" t="n">
        <v>1</v>
      </c>
      <c r="D16" s="37" t="n">
        <v>2</v>
      </c>
      <c r="E16" s="37" t="n">
        <v>1</v>
      </c>
      <c r="F16" s="37" t="n">
        <v>0</v>
      </c>
      <c r="G16" s="37" t="n">
        <v>0</v>
      </c>
      <c r="H16" s="37" t="n">
        <v>0</v>
      </c>
      <c r="I16" s="37" t="n">
        <v>0</v>
      </c>
      <c r="J16" s="40" t="n">
        <v>0.5</v>
      </c>
      <c r="K16" s="44" t="n">
        <v>5</v>
      </c>
      <c r="L16" s="37" t="n">
        <v>1</v>
      </c>
      <c r="M16" s="37" t="n">
        <v>2</v>
      </c>
      <c r="N16" s="45" t="n">
        <v>8.4</v>
      </c>
    </row>
    <row r="17" ht="15" customHeight="1" s="28">
      <c r="A17" s="32" t="inlineStr">
        <is>
          <t>Antonio Guerra</t>
        </is>
      </c>
      <c r="B17" s="32" t="inlineStr">
        <is>
          <t>Deejays</t>
        </is>
      </c>
      <c r="C17" s="37" t="n">
        <v>1</v>
      </c>
      <c r="D17" s="37" t="n">
        <v>2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40" t="n">
        <v>0</v>
      </c>
      <c r="K17" s="44" t="n"/>
      <c r="L17" s="37" t="n"/>
      <c r="M17" s="37" t="n"/>
      <c r="N17" s="45" t="n"/>
    </row>
    <row r="18" ht="15" customHeight="1" s="28">
      <c r="A18" s="32" t="inlineStr">
        <is>
          <t>Daniel Tapia</t>
        </is>
      </c>
      <c r="B18" s="32" t="inlineStr">
        <is>
          <t>Deejays</t>
        </is>
      </c>
      <c r="C18" s="37" t="n">
        <v>1</v>
      </c>
      <c r="D18" s="37" t="n">
        <v>1</v>
      </c>
      <c r="E18" s="37" t="n">
        <v>0</v>
      </c>
      <c r="F18" s="37" t="n">
        <v>0</v>
      </c>
      <c r="G18" s="37" t="n">
        <v>0</v>
      </c>
      <c r="H18" s="37" t="n">
        <v>0</v>
      </c>
      <c r="I18" s="37" t="n">
        <v>0</v>
      </c>
      <c r="J18" s="40" t="n">
        <v>0</v>
      </c>
      <c r="K18" s="44" t="n"/>
      <c r="L18" s="37" t="n"/>
      <c r="M18" s="37" t="n"/>
      <c r="N18" s="45" t="n"/>
    </row>
    <row r="19" ht="15" customHeight="1" s="28">
      <c r="A19" s="32" t="inlineStr">
        <is>
          <t>Juan Carlos Meneses</t>
        </is>
      </c>
      <c r="B19" s="32" t="inlineStr">
        <is>
          <t>Deejays</t>
        </is>
      </c>
      <c r="C19" s="37" t="n">
        <v>1</v>
      </c>
      <c r="D19" s="37" t="n">
        <v>1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40" t="n">
        <v>0</v>
      </c>
      <c r="K19" s="44" t="n">
        <v>5</v>
      </c>
      <c r="L19" s="37" t="n">
        <v>0</v>
      </c>
      <c r="M19" s="37" t="n">
        <v>0</v>
      </c>
      <c r="N19" s="45" t="n">
        <v>5.6</v>
      </c>
    </row>
    <row r="20" ht="15" customHeight="1" s="28">
      <c r="A20" s="32" t="inlineStr">
        <is>
          <t>Nicolás Carrega</t>
        </is>
      </c>
      <c r="B20" s="32" t="inlineStr">
        <is>
          <t>Deejays</t>
        </is>
      </c>
      <c r="C20" s="37" t="n">
        <v>1</v>
      </c>
      <c r="D20" s="37" t="n">
        <v>2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40" t="n">
        <v>0</v>
      </c>
      <c r="K20" s="44" t="n"/>
      <c r="L20" s="37" t="n"/>
      <c r="M20" s="37" t="n"/>
      <c r="N20" s="45" t="n"/>
    </row>
    <row r="21" ht="15" customHeight="1" s="28">
      <c r="A21" s="32" t="n"/>
      <c r="B21" s="32" t="n"/>
      <c r="C21" s="37" t="n"/>
      <c r="D21" s="37" t="n"/>
      <c r="E21" s="37" t="n"/>
      <c r="F21" s="37" t="n"/>
      <c r="G21" s="37" t="n"/>
      <c r="H21" s="37" t="n"/>
      <c r="I21" s="37" t="n"/>
      <c r="J21" s="40" t="n"/>
      <c r="K21" s="44" t="n"/>
      <c r="L21" s="37" t="n"/>
      <c r="M21" s="37" t="n"/>
      <c r="N21" s="45" t="n"/>
    </row>
    <row r="22" ht="15" customHeight="1" s="28">
      <c r="A22" s="32" t="n"/>
      <c r="B22" s="32" t="n"/>
      <c r="C22" s="37" t="n"/>
      <c r="D22" s="37" t="n"/>
      <c r="E22" s="37" t="n"/>
      <c r="F22" s="37" t="n"/>
      <c r="G22" s="37" t="n"/>
      <c r="H22" s="37" t="n"/>
      <c r="I22" s="37" t="n"/>
      <c r="J22" s="40" t="n"/>
      <c r="K22" s="44" t="n"/>
      <c r="L22" s="37" t="n"/>
      <c r="M22" s="37" t="n"/>
      <c r="N22" s="45" t="n"/>
    </row>
    <row r="23" ht="15" customHeight="1" s="28">
      <c r="A23" s="46" t="n"/>
      <c r="B23" s="46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8" t="n"/>
      <c r="L23" s="47" t="n"/>
      <c r="M23" s="47" t="n"/>
      <c r="N23" s="4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16" customWidth="1" style="27" min="2" max="2"/>
    <col width="6" customWidth="1" style="27" min="3" max="9"/>
    <col width="8" customWidth="1" style="27" min="10" max="10"/>
    <col width="6" customWidth="1" style="27" min="11" max="13"/>
    <col width="8" customWidth="1" style="27" min="14" max="14"/>
  </cols>
  <sheetData>
    <row r="1" ht="19.5" customHeight="1" s="28">
      <c r="A1" s="29" t="inlineStr">
        <is>
          <t>La Pandilla</t>
        </is>
      </c>
    </row>
    <row r="2" ht="15" customHeight="1" s="28">
      <c r="A2" s="35" t="inlineStr">
        <is>
          <t>Meracho Senior · Temporada 22 · corte después de la jornada 2 (miércoles 28 oct 2026)</t>
        </is>
      </c>
    </row>
    <row r="4" ht="19.5" customHeight="1" s="28">
      <c r="A4" s="42" t="inlineStr">
        <is>
          <t>Jugador</t>
        </is>
      </c>
      <c r="B4" s="42" t="inlineStr">
        <is>
          <t>Equipo</t>
        </is>
      </c>
      <c r="C4" s="43" t="inlineStr">
        <is>
          <t>JJ</t>
        </is>
      </c>
      <c r="D4" s="43" t="inlineStr">
        <is>
          <t>VB</t>
        </is>
      </c>
      <c r="E4" s="43" t="inlineStr">
        <is>
          <t>H</t>
        </is>
      </c>
      <c r="F4" s="43" t="inlineStr">
        <is>
          <t>2B</t>
        </is>
      </c>
      <c r="G4" s="43" t="inlineStr">
        <is>
          <t>3B</t>
        </is>
      </c>
      <c r="H4" s="43" t="inlineStr">
        <is>
          <t>HR</t>
        </is>
      </c>
      <c r="I4" s="43" t="inlineStr">
        <is>
          <t>CI</t>
        </is>
      </c>
      <c r="J4" s="43" t="inlineStr">
        <is>
          <t>PRO</t>
        </is>
      </c>
      <c r="K4" s="43" t="inlineStr">
        <is>
          <t>EL</t>
        </is>
      </c>
      <c r="L4" s="43" t="inlineStr">
        <is>
          <t>JG</t>
        </is>
      </c>
      <c r="M4" s="43" t="inlineStr">
        <is>
          <t>K</t>
        </is>
      </c>
      <c r="N4" s="43" t="inlineStr">
        <is>
          <t>EFE</t>
        </is>
      </c>
    </row>
    <row r="5" ht="15" customHeight="1" s="28">
      <c r="A5" s="32" t="inlineStr">
        <is>
          <t>Franck Chiary</t>
        </is>
      </c>
      <c r="B5" s="32" t="inlineStr">
        <is>
          <t>La Pandilla</t>
        </is>
      </c>
      <c r="C5" s="37" t="n">
        <v>2</v>
      </c>
      <c r="D5" s="37" t="n">
        <v>6</v>
      </c>
      <c r="E5" s="37" t="n">
        <v>4</v>
      </c>
      <c r="F5" s="37" t="n">
        <v>1</v>
      </c>
      <c r="G5" s="37" t="n">
        <v>1</v>
      </c>
      <c r="H5" s="37" t="n">
        <v>0</v>
      </c>
      <c r="I5" s="37" t="n">
        <v>5</v>
      </c>
      <c r="J5" s="40" t="n">
        <v>0.667</v>
      </c>
      <c r="K5" s="44" t="n"/>
      <c r="L5" s="37" t="n"/>
      <c r="M5" s="37" t="n"/>
      <c r="N5" s="45" t="n"/>
    </row>
    <row r="6" ht="15" customHeight="1" s="28">
      <c r="A6" s="32" t="inlineStr">
        <is>
          <t>Nedglinyer Marcano</t>
        </is>
      </c>
      <c r="B6" s="32" t="inlineStr">
        <is>
          <t>La Pandilla</t>
        </is>
      </c>
      <c r="C6" s="37" t="n">
        <v>2</v>
      </c>
      <c r="D6" s="37" t="n">
        <v>4</v>
      </c>
      <c r="E6" s="37" t="n">
        <v>3</v>
      </c>
      <c r="F6" s="37" t="n">
        <v>0</v>
      </c>
      <c r="G6" s="37" t="n">
        <v>0</v>
      </c>
      <c r="H6" s="37" t="n">
        <v>0</v>
      </c>
      <c r="I6" s="37" t="n">
        <v>3</v>
      </c>
      <c r="J6" s="40" t="n">
        <v>0.75</v>
      </c>
      <c r="K6" s="44" t="n"/>
      <c r="L6" s="37" t="n"/>
      <c r="M6" s="37" t="n"/>
      <c r="N6" s="45" t="n"/>
    </row>
    <row r="7" ht="15" customHeight="1" s="28">
      <c r="A7" s="32" t="inlineStr">
        <is>
          <t>Tomas Noriega</t>
        </is>
      </c>
      <c r="B7" s="32" t="inlineStr">
        <is>
          <t>La Pandilla</t>
        </is>
      </c>
      <c r="C7" s="37" t="n">
        <v>2</v>
      </c>
      <c r="D7" s="37" t="n">
        <v>6</v>
      </c>
      <c r="E7" s="37" t="n">
        <v>3</v>
      </c>
      <c r="F7" s="37" t="n">
        <v>2</v>
      </c>
      <c r="G7" s="37" t="n">
        <v>0</v>
      </c>
      <c r="H7" s="37" t="n">
        <v>0</v>
      </c>
      <c r="I7" s="37" t="n">
        <v>3</v>
      </c>
      <c r="J7" s="40" t="n">
        <v>0.5</v>
      </c>
      <c r="K7" s="44" t="n"/>
      <c r="L7" s="37" t="n"/>
      <c r="M7" s="37" t="n"/>
      <c r="N7" s="45" t="n"/>
    </row>
    <row r="8" ht="15" customHeight="1" s="28">
      <c r="A8" s="32" t="inlineStr">
        <is>
          <t>Sergio González</t>
        </is>
      </c>
      <c r="B8" s="32" t="inlineStr">
        <is>
          <t>La Pandilla</t>
        </is>
      </c>
      <c r="C8" s="37" t="n">
        <v>2</v>
      </c>
      <c r="D8" s="37" t="n">
        <v>4</v>
      </c>
      <c r="E8" s="37" t="n">
        <v>1</v>
      </c>
      <c r="F8" s="37" t="n">
        <v>0</v>
      </c>
      <c r="G8" s="37" t="n">
        <v>0</v>
      </c>
      <c r="H8" s="37" t="n">
        <v>1</v>
      </c>
      <c r="I8" s="37" t="n">
        <v>3</v>
      </c>
      <c r="J8" s="40" t="n">
        <v>0.25</v>
      </c>
      <c r="K8" s="44" t="n"/>
      <c r="L8" s="37" t="n"/>
      <c r="M8" s="37" t="n"/>
      <c r="N8" s="45" t="n"/>
    </row>
    <row r="9" ht="15" customHeight="1" s="28">
      <c r="A9" s="32" t="inlineStr">
        <is>
          <t>Alexis Hartman</t>
        </is>
      </c>
      <c r="B9" s="32" t="inlineStr">
        <is>
          <t>La Pandilla</t>
        </is>
      </c>
      <c r="C9" s="37" t="n">
        <v>2</v>
      </c>
      <c r="D9" s="37" t="n">
        <v>5</v>
      </c>
      <c r="E9" s="37" t="n">
        <v>3</v>
      </c>
      <c r="F9" s="37" t="n">
        <v>1</v>
      </c>
      <c r="G9" s="37" t="n">
        <v>0</v>
      </c>
      <c r="H9" s="37" t="n">
        <v>0</v>
      </c>
      <c r="I9" s="37" t="n">
        <v>2</v>
      </c>
      <c r="J9" s="40" t="n">
        <v>0.6</v>
      </c>
      <c r="K9" s="44" t="n"/>
      <c r="L9" s="37" t="n"/>
      <c r="M9" s="37" t="n"/>
      <c r="N9" s="45" t="n"/>
    </row>
    <row r="10" ht="15" customHeight="1" s="28">
      <c r="A10" s="32" t="inlineStr">
        <is>
          <t>Romel Cubilla</t>
        </is>
      </c>
      <c r="B10" s="32" t="inlineStr">
        <is>
          <t>La Pandilla</t>
        </is>
      </c>
      <c r="C10" s="37" t="n">
        <v>2</v>
      </c>
      <c r="D10" s="37" t="n">
        <v>3</v>
      </c>
      <c r="E10" s="37" t="n">
        <v>2</v>
      </c>
      <c r="F10" s="37" t="n">
        <v>1</v>
      </c>
      <c r="G10" s="37" t="n">
        <v>0</v>
      </c>
      <c r="H10" s="37" t="n">
        <v>0</v>
      </c>
      <c r="I10" s="37" t="n">
        <v>1</v>
      </c>
      <c r="J10" s="40" t="n">
        <v>0.667</v>
      </c>
      <c r="K10" s="44" t="n"/>
      <c r="L10" s="37" t="n"/>
      <c r="M10" s="37" t="n"/>
      <c r="N10" s="45" t="n"/>
    </row>
    <row r="11" ht="15" customHeight="1" s="28">
      <c r="A11" s="32" t="inlineStr">
        <is>
          <t>Abdul Garzón</t>
        </is>
      </c>
      <c r="B11" s="32" t="inlineStr">
        <is>
          <t>La Pandilla</t>
        </is>
      </c>
      <c r="C11" s="37" t="n">
        <v>2</v>
      </c>
      <c r="D11" s="37" t="n">
        <v>4</v>
      </c>
      <c r="E11" s="37" t="n">
        <v>0</v>
      </c>
      <c r="F11" s="37" t="n">
        <v>0</v>
      </c>
      <c r="G11" s="37" t="n">
        <v>0</v>
      </c>
      <c r="H11" s="37" t="n">
        <v>0</v>
      </c>
      <c r="I11" s="37" t="n">
        <v>1</v>
      </c>
      <c r="J11" s="40" t="n">
        <v>0</v>
      </c>
      <c r="K11" s="44" t="n"/>
      <c r="L11" s="37" t="n"/>
      <c r="M11" s="37" t="n"/>
      <c r="N11" s="45" t="n"/>
    </row>
    <row r="12" ht="15" customHeight="1" s="28">
      <c r="A12" s="32" t="inlineStr">
        <is>
          <t>Jose Corro</t>
        </is>
      </c>
      <c r="B12" s="32" t="inlineStr">
        <is>
          <t>La Pandilla</t>
        </is>
      </c>
      <c r="C12" s="37" t="n">
        <v>1</v>
      </c>
      <c r="D12" s="37" t="n">
        <v>1</v>
      </c>
      <c r="E12" s="37" t="n">
        <v>1</v>
      </c>
      <c r="F12" s="37" t="n">
        <v>0</v>
      </c>
      <c r="G12" s="37" t="n">
        <v>1</v>
      </c>
      <c r="H12" s="37" t="n">
        <v>0</v>
      </c>
      <c r="I12" s="37" t="n">
        <v>0</v>
      </c>
      <c r="J12" s="40" t="n">
        <v>1</v>
      </c>
      <c r="K12" s="44" t="n"/>
      <c r="L12" s="37" t="n"/>
      <c r="M12" s="37" t="n"/>
      <c r="N12" s="45" t="n"/>
    </row>
    <row r="13" ht="15" customHeight="1" s="28">
      <c r="A13" s="32" t="inlineStr">
        <is>
          <t>Luis Pineda</t>
        </is>
      </c>
      <c r="B13" s="32" t="inlineStr">
        <is>
          <t>La Pandilla</t>
        </is>
      </c>
      <c r="C13" s="37" t="n">
        <v>2</v>
      </c>
      <c r="D13" s="37" t="n">
        <v>3</v>
      </c>
      <c r="E13" s="37" t="n">
        <v>1</v>
      </c>
      <c r="F13" s="37" t="n">
        <v>0</v>
      </c>
      <c r="G13" s="37" t="n">
        <v>0</v>
      </c>
      <c r="H13" s="37" t="n">
        <v>0</v>
      </c>
      <c r="I13" s="37" t="n">
        <v>0</v>
      </c>
      <c r="J13" s="40" t="n">
        <v>0.333</v>
      </c>
      <c r="K13" s="44" t="n"/>
      <c r="L13" s="37" t="n"/>
      <c r="M13" s="37" t="n"/>
      <c r="N13" s="45" t="n"/>
    </row>
    <row r="14" ht="15" customHeight="1" s="28">
      <c r="A14" s="32" t="inlineStr">
        <is>
          <t>Eric Yim</t>
        </is>
      </c>
      <c r="B14" s="32" t="inlineStr">
        <is>
          <t>La Pandilla</t>
        </is>
      </c>
      <c r="C14" s="37" t="n">
        <v>1</v>
      </c>
      <c r="D14" s="37" t="n">
        <v>0</v>
      </c>
      <c r="E14" s="37" t="n">
        <v>0</v>
      </c>
      <c r="F14" s="37" t="n">
        <v>0</v>
      </c>
      <c r="G14" s="37" t="n">
        <v>0</v>
      </c>
      <c r="H14" s="37" t="n">
        <v>0</v>
      </c>
      <c r="I14" s="37" t="n">
        <v>0</v>
      </c>
      <c r="J14" s="40" t="n"/>
      <c r="K14" s="44" t="n"/>
      <c r="L14" s="37" t="n"/>
      <c r="M14" s="37" t="n"/>
      <c r="N14" s="45" t="n"/>
    </row>
    <row r="15" ht="15" customHeight="1" s="28">
      <c r="A15" s="32" t="inlineStr">
        <is>
          <t>Francisco Cárdenas</t>
        </is>
      </c>
      <c r="B15" s="32" t="inlineStr">
        <is>
          <t>La Pandilla</t>
        </is>
      </c>
      <c r="C15" s="37" t="n">
        <v>2</v>
      </c>
      <c r="D15" s="37" t="n">
        <v>4</v>
      </c>
      <c r="E15" s="37" t="n">
        <v>0</v>
      </c>
      <c r="F15" s="37" t="n">
        <v>0</v>
      </c>
      <c r="G15" s="37" t="n">
        <v>0</v>
      </c>
      <c r="H15" s="37" t="n">
        <v>0</v>
      </c>
      <c r="I15" s="37" t="n">
        <v>0</v>
      </c>
      <c r="J15" s="40" t="n">
        <v>0</v>
      </c>
      <c r="K15" s="44" t="n"/>
      <c r="L15" s="37" t="n"/>
      <c r="M15" s="37" t="n"/>
      <c r="N15" s="45" t="n"/>
    </row>
    <row r="16" ht="15" customHeight="1" s="28">
      <c r="A16" s="32" t="inlineStr">
        <is>
          <t>Jack Peter</t>
        </is>
      </c>
      <c r="B16" s="32" t="inlineStr">
        <is>
          <t>La Pandilla</t>
        </is>
      </c>
      <c r="C16" s="37" t="n">
        <v>2</v>
      </c>
      <c r="D16" s="37" t="n">
        <v>3</v>
      </c>
      <c r="E16" s="37" t="n">
        <v>0</v>
      </c>
      <c r="F16" s="37" t="n">
        <v>0</v>
      </c>
      <c r="G16" s="37" t="n">
        <v>0</v>
      </c>
      <c r="H16" s="37" t="n">
        <v>0</v>
      </c>
      <c r="I16" s="37" t="n">
        <v>0</v>
      </c>
      <c r="J16" s="40" t="n">
        <v>0</v>
      </c>
      <c r="K16" s="44" t="n"/>
      <c r="L16" s="37" t="n"/>
      <c r="M16" s="37" t="n"/>
      <c r="N16" s="45" t="n"/>
    </row>
    <row r="17" ht="15" customHeight="1" s="28">
      <c r="A17" s="32" t="inlineStr">
        <is>
          <t>Randy Saez</t>
        </is>
      </c>
      <c r="B17" s="32" t="inlineStr">
        <is>
          <t>La Pandilla</t>
        </is>
      </c>
      <c r="C17" s="37" t="n">
        <v>1</v>
      </c>
      <c r="D17" s="37" t="n">
        <v>2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40" t="n">
        <v>0</v>
      </c>
      <c r="K17" s="44" t="n">
        <v>10</v>
      </c>
      <c r="L17" s="37" t="n">
        <v>2</v>
      </c>
      <c r="M17" s="37" t="n">
        <v>3</v>
      </c>
      <c r="N17" s="45" t="n">
        <v>7</v>
      </c>
    </row>
    <row r="18" ht="15" customHeight="1" s="28">
      <c r="A18" s="32" t="inlineStr">
        <is>
          <t>Roberto Salas</t>
        </is>
      </c>
      <c r="B18" s="32" t="inlineStr">
        <is>
          <t>La Pandilla</t>
        </is>
      </c>
      <c r="C18" s="37" t="n">
        <v>2</v>
      </c>
      <c r="D18" s="37" t="n">
        <v>4</v>
      </c>
      <c r="E18" s="37" t="n">
        <v>0</v>
      </c>
      <c r="F18" s="37" t="n">
        <v>0</v>
      </c>
      <c r="G18" s="37" t="n">
        <v>0</v>
      </c>
      <c r="H18" s="37" t="n">
        <v>0</v>
      </c>
      <c r="I18" s="37" t="n">
        <v>0</v>
      </c>
      <c r="J18" s="40" t="n">
        <v>0</v>
      </c>
      <c r="K18" s="44" t="n"/>
      <c r="L18" s="37" t="n"/>
      <c r="M18" s="37" t="n"/>
      <c r="N18" s="45" t="n"/>
    </row>
    <row r="19" ht="15" customHeight="1" s="28">
      <c r="A19" s="32" t="n"/>
      <c r="B19" s="32" t="n"/>
      <c r="C19" s="37" t="n"/>
      <c r="D19" s="37" t="n"/>
      <c r="E19" s="37" t="n"/>
      <c r="F19" s="37" t="n"/>
      <c r="G19" s="37" t="n"/>
      <c r="H19" s="37" t="n"/>
      <c r="I19" s="37" t="n"/>
      <c r="J19" s="40" t="n"/>
      <c r="K19" s="44" t="n"/>
      <c r="L19" s="37" t="n"/>
      <c r="M19" s="37" t="n"/>
      <c r="N19" s="45" t="n"/>
    </row>
    <row r="20" ht="15" customHeight="1" s="28">
      <c r="A20" s="32" t="n"/>
      <c r="B20" s="32" t="n"/>
      <c r="C20" s="37" t="n"/>
      <c r="D20" s="37" t="n"/>
      <c r="E20" s="37" t="n"/>
      <c r="F20" s="37" t="n"/>
      <c r="G20" s="37" t="n"/>
      <c r="H20" s="37" t="n"/>
      <c r="I20" s="37" t="n"/>
      <c r="J20" s="40" t="n"/>
      <c r="K20" s="44" t="n"/>
      <c r="L20" s="37" t="n"/>
      <c r="M20" s="37" t="n"/>
      <c r="N20" s="45" t="n"/>
    </row>
    <row r="21" ht="15" customHeight="1" s="28">
      <c r="A21" s="32" t="n"/>
      <c r="B21" s="32" t="n"/>
      <c r="C21" s="37" t="n"/>
      <c r="D21" s="37" t="n"/>
      <c r="E21" s="37" t="n"/>
      <c r="F21" s="37" t="n"/>
      <c r="G21" s="37" t="n"/>
      <c r="H21" s="37" t="n"/>
      <c r="I21" s="37" t="n"/>
      <c r="J21" s="40" t="n"/>
      <c r="K21" s="44" t="n"/>
      <c r="L21" s="37" t="n"/>
      <c r="M21" s="37" t="n"/>
      <c r="N21" s="45" t="n"/>
    </row>
    <row r="22" ht="15" customHeight="1" s="28">
      <c r="A22" s="32" t="n"/>
      <c r="B22" s="32" t="n"/>
      <c r="C22" s="37" t="n"/>
      <c r="D22" s="37" t="n"/>
      <c r="E22" s="37" t="n"/>
      <c r="F22" s="37" t="n"/>
      <c r="G22" s="37" t="n"/>
      <c r="H22" s="37" t="n"/>
      <c r="I22" s="37" t="n"/>
      <c r="J22" s="40" t="n"/>
      <c r="K22" s="44" t="n"/>
      <c r="L22" s="37" t="n"/>
      <c r="M22" s="37" t="n"/>
      <c r="N22" s="45" t="n"/>
    </row>
    <row r="23" ht="15" customHeight="1" s="28">
      <c r="A23" s="32" t="n"/>
      <c r="B23" s="32" t="n"/>
      <c r="C23" s="37" t="n"/>
      <c r="D23" s="37" t="n"/>
      <c r="E23" s="37" t="n"/>
      <c r="F23" s="37" t="n"/>
      <c r="G23" s="37" t="n"/>
      <c r="H23" s="37" t="n"/>
      <c r="I23" s="37" t="n"/>
      <c r="J23" s="40" t="n"/>
      <c r="K23" s="44" t="n"/>
      <c r="L23" s="37" t="n"/>
      <c r="M23" s="37" t="n"/>
      <c r="N23" s="45" t="n"/>
    </row>
    <row r="24" ht="15" customHeight="1" s="28">
      <c r="A24" s="50" t="n"/>
      <c r="B24" s="51" t="n"/>
      <c r="C24" s="51" t="n"/>
      <c r="D24" s="52" t="n"/>
      <c r="E24" s="52" t="n"/>
      <c r="F24" s="52" t="n"/>
      <c r="G24" s="52" t="n"/>
      <c r="H24" s="52" t="n"/>
      <c r="I24" s="52" t="n"/>
      <c r="J24" s="51" t="n"/>
      <c r="K24" s="53" t="n"/>
      <c r="L24" s="52" t="n"/>
      <c r="M24" s="52" t="n"/>
      <c r="N24" s="5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16" customWidth="1" style="27" min="2" max="2"/>
    <col width="6" customWidth="1" style="27" min="3" max="9"/>
    <col width="8" customWidth="1" style="27" min="10" max="10"/>
    <col width="6" customWidth="1" style="27" min="11" max="13"/>
    <col width="8" customWidth="1" style="27" min="14" max="14"/>
  </cols>
  <sheetData>
    <row r="1" ht="19.5" customHeight="1" s="28">
      <c r="A1" s="29" t="inlineStr">
        <is>
          <t>Cerveceros</t>
        </is>
      </c>
    </row>
    <row r="2" ht="15" customHeight="1" s="28">
      <c r="A2" s="35" t="inlineStr">
        <is>
          <t>Meracho Senior · Temporada 22 · corte después de la jornada 2 (miércoles 28 oct 2026)</t>
        </is>
      </c>
    </row>
    <row r="4" ht="19.5" customHeight="1" s="28">
      <c r="A4" s="42" t="inlineStr">
        <is>
          <t>Jugador</t>
        </is>
      </c>
      <c r="B4" s="42" t="inlineStr">
        <is>
          <t>Equipo</t>
        </is>
      </c>
      <c r="C4" s="43" t="inlineStr">
        <is>
          <t>JJ</t>
        </is>
      </c>
      <c r="D4" s="43" t="inlineStr">
        <is>
          <t>VB</t>
        </is>
      </c>
      <c r="E4" s="43" t="inlineStr">
        <is>
          <t>H</t>
        </is>
      </c>
      <c r="F4" s="43" t="inlineStr">
        <is>
          <t>2B</t>
        </is>
      </c>
      <c r="G4" s="43" t="inlineStr">
        <is>
          <t>3B</t>
        </is>
      </c>
      <c r="H4" s="43" t="inlineStr">
        <is>
          <t>HR</t>
        </is>
      </c>
      <c r="I4" s="43" t="inlineStr">
        <is>
          <t>CI</t>
        </is>
      </c>
      <c r="J4" s="43" t="inlineStr">
        <is>
          <t>PRO</t>
        </is>
      </c>
      <c r="K4" s="43" t="inlineStr">
        <is>
          <t>EL</t>
        </is>
      </c>
      <c r="L4" s="43" t="inlineStr">
        <is>
          <t>JG</t>
        </is>
      </c>
      <c r="M4" s="43" t="inlineStr">
        <is>
          <t>K</t>
        </is>
      </c>
      <c r="N4" s="43" t="inlineStr">
        <is>
          <t>EFE</t>
        </is>
      </c>
    </row>
    <row r="5" ht="15" customHeight="1" s="28">
      <c r="A5" s="32" t="inlineStr">
        <is>
          <t>Gabriel Aira</t>
        </is>
      </c>
      <c r="B5" s="32" t="inlineStr">
        <is>
          <t>Cerveceros</t>
        </is>
      </c>
      <c r="C5" s="37" t="n">
        <v>2</v>
      </c>
      <c r="D5" s="37" t="n">
        <v>4</v>
      </c>
      <c r="E5" s="37" t="n">
        <v>2</v>
      </c>
      <c r="F5" s="37" t="n">
        <v>1</v>
      </c>
      <c r="G5" s="37" t="n">
        <v>1</v>
      </c>
      <c r="H5" s="37" t="n">
        <v>0</v>
      </c>
      <c r="I5" s="37" t="n">
        <v>3</v>
      </c>
      <c r="J5" s="40" t="n">
        <v>0.5</v>
      </c>
      <c r="K5" s="44" t="n"/>
      <c r="L5" s="37" t="n"/>
      <c r="M5" s="37" t="n"/>
      <c r="N5" s="45" t="n"/>
    </row>
    <row r="6" ht="15" customHeight="1" s="28">
      <c r="A6" s="32" t="inlineStr">
        <is>
          <t>Reinaldo Arcia</t>
        </is>
      </c>
      <c r="B6" s="32" t="inlineStr">
        <is>
          <t>Cerveceros</t>
        </is>
      </c>
      <c r="C6" s="37" t="n">
        <v>2</v>
      </c>
      <c r="D6" s="37" t="n">
        <v>4</v>
      </c>
      <c r="E6" s="37" t="n">
        <v>1</v>
      </c>
      <c r="F6" s="37" t="n">
        <v>1</v>
      </c>
      <c r="G6" s="37" t="n">
        <v>0</v>
      </c>
      <c r="H6" s="37" t="n">
        <v>0</v>
      </c>
      <c r="I6" s="37" t="n">
        <v>3</v>
      </c>
      <c r="J6" s="40" t="n">
        <v>0.25</v>
      </c>
      <c r="K6" s="44" t="n"/>
      <c r="L6" s="37" t="n"/>
      <c r="M6" s="37" t="n"/>
      <c r="N6" s="45" t="n"/>
    </row>
    <row r="7" ht="15" customHeight="1" s="28">
      <c r="A7" s="32" t="inlineStr">
        <is>
          <t>Wilian Aira</t>
        </is>
      </c>
      <c r="B7" s="32" t="inlineStr">
        <is>
          <t>Cerveceros</t>
        </is>
      </c>
      <c r="C7" s="37" t="n">
        <v>2</v>
      </c>
      <c r="D7" s="37" t="n">
        <v>3</v>
      </c>
      <c r="E7" s="37" t="n">
        <v>2</v>
      </c>
      <c r="F7" s="37" t="n">
        <v>1</v>
      </c>
      <c r="G7" s="37" t="n">
        <v>0</v>
      </c>
      <c r="H7" s="37" t="n">
        <v>0</v>
      </c>
      <c r="I7" s="37" t="n">
        <v>2</v>
      </c>
      <c r="J7" s="40" t="n">
        <v>0.667</v>
      </c>
      <c r="K7" s="44" t="n"/>
      <c r="L7" s="37" t="n"/>
      <c r="M7" s="37" t="n"/>
      <c r="N7" s="45" t="n"/>
    </row>
    <row r="8" ht="15" customHeight="1" s="28">
      <c r="A8" s="32" t="inlineStr">
        <is>
          <t>Jesus Gil</t>
        </is>
      </c>
      <c r="B8" s="32" t="inlineStr">
        <is>
          <t>Cerveceros</t>
        </is>
      </c>
      <c r="C8" s="37" t="n">
        <v>2</v>
      </c>
      <c r="D8" s="37" t="n">
        <v>5</v>
      </c>
      <c r="E8" s="37" t="n">
        <v>2</v>
      </c>
      <c r="F8" s="37" t="n">
        <v>0</v>
      </c>
      <c r="G8" s="37" t="n">
        <v>0</v>
      </c>
      <c r="H8" s="37" t="n">
        <v>0</v>
      </c>
      <c r="I8" s="37" t="n">
        <v>1</v>
      </c>
      <c r="J8" s="40" t="n">
        <v>0.4</v>
      </c>
      <c r="K8" s="44" t="n">
        <v>8</v>
      </c>
      <c r="L8" s="37" t="n">
        <v>0</v>
      </c>
      <c r="M8" s="37" t="n">
        <v>4</v>
      </c>
      <c r="N8" s="45" t="n">
        <v>6.12</v>
      </c>
    </row>
    <row r="9" ht="15" customHeight="1" s="28">
      <c r="A9" s="32" t="inlineStr">
        <is>
          <t>Edgar Hernandez</t>
        </is>
      </c>
      <c r="B9" s="32" t="inlineStr">
        <is>
          <t>Cerveceros</t>
        </is>
      </c>
      <c r="C9" s="37" t="n">
        <v>2</v>
      </c>
      <c r="D9" s="37" t="n">
        <v>5</v>
      </c>
      <c r="E9" s="37" t="n">
        <v>1</v>
      </c>
      <c r="F9" s="37" t="n">
        <v>0</v>
      </c>
      <c r="G9" s="37" t="n">
        <v>0</v>
      </c>
      <c r="H9" s="37" t="n">
        <v>0</v>
      </c>
      <c r="I9" s="37" t="n">
        <v>1</v>
      </c>
      <c r="J9" s="40" t="n">
        <v>0.2</v>
      </c>
      <c r="K9" s="44" t="n"/>
      <c r="L9" s="37" t="n"/>
      <c r="M9" s="37" t="n"/>
      <c r="N9" s="45" t="n"/>
    </row>
    <row r="10" ht="15" customHeight="1" s="28">
      <c r="A10" s="32" t="inlineStr">
        <is>
          <t>Eliecer Chirinos</t>
        </is>
      </c>
      <c r="B10" s="32" t="inlineStr">
        <is>
          <t>Cerveceros</t>
        </is>
      </c>
      <c r="C10" s="37" t="n">
        <v>1</v>
      </c>
      <c r="D10" s="37" t="n">
        <v>2</v>
      </c>
      <c r="E10" s="37" t="n">
        <v>1</v>
      </c>
      <c r="F10" s="37" t="n">
        <v>0</v>
      </c>
      <c r="G10" s="37" t="n">
        <v>0</v>
      </c>
      <c r="H10" s="37" t="n">
        <v>1</v>
      </c>
      <c r="I10" s="37" t="n">
        <v>1</v>
      </c>
      <c r="J10" s="40" t="n">
        <v>0.5</v>
      </c>
      <c r="K10" s="44" t="n">
        <v>1</v>
      </c>
      <c r="L10" s="37" t="n">
        <v>0</v>
      </c>
      <c r="M10" s="37" t="n">
        <v>0</v>
      </c>
      <c r="N10" s="45" t="n">
        <v>56</v>
      </c>
    </row>
    <row r="11" ht="15" customHeight="1" s="28">
      <c r="A11" s="32" t="inlineStr">
        <is>
          <t>Nicolas Bertrand</t>
        </is>
      </c>
      <c r="B11" s="32" t="inlineStr">
        <is>
          <t>Cerveceros</t>
        </is>
      </c>
      <c r="C11" s="37" t="n">
        <v>1</v>
      </c>
      <c r="D11" s="37" t="n">
        <v>1</v>
      </c>
      <c r="E11" s="37" t="n">
        <v>1</v>
      </c>
      <c r="F11" s="37" t="n">
        <v>0</v>
      </c>
      <c r="G11" s="37" t="n">
        <v>1</v>
      </c>
      <c r="H11" s="37" t="n">
        <v>0</v>
      </c>
      <c r="I11" s="37" t="n">
        <v>1</v>
      </c>
      <c r="J11" s="40" t="n">
        <v>1</v>
      </c>
      <c r="K11" s="44" t="n"/>
      <c r="L11" s="37" t="n"/>
      <c r="M11" s="37" t="n"/>
      <c r="N11" s="45" t="n"/>
    </row>
    <row r="12" ht="15" customHeight="1" s="28">
      <c r="A12" s="32" t="inlineStr">
        <is>
          <t>Wolfang Mendez</t>
        </is>
      </c>
      <c r="B12" s="32" t="inlineStr">
        <is>
          <t>Cerveceros</t>
        </is>
      </c>
      <c r="C12" s="37" t="n">
        <v>1</v>
      </c>
      <c r="D12" s="37" t="n">
        <v>1</v>
      </c>
      <c r="E12" s="37" t="n">
        <v>1</v>
      </c>
      <c r="F12" s="37" t="n">
        <v>0</v>
      </c>
      <c r="G12" s="37" t="n">
        <v>0</v>
      </c>
      <c r="H12" s="37" t="n">
        <v>0</v>
      </c>
      <c r="I12" s="37" t="n">
        <v>1</v>
      </c>
      <c r="J12" s="40" t="n">
        <v>1</v>
      </c>
      <c r="K12" s="44" t="n"/>
      <c r="L12" s="37" t="n"/>
      <c r="M12" s="37" t="n"/>
      <c r="N12" s="45" t="n"/>
    </row>
    <row r="13" ht="15" customHeight="1" s="28">
      <c r="A13" s="32" t="inlineStr">
        <is>
          <t>Paulo Luque</t>
        </is>
      </c>
      <c r="B13" s="32" t="inlineStr">
        <is>
          <t>Cerveceros</t>
        </is>
      </c>
      <c r="C13" s="37" t="n">
        <v>1</v>
      </c>
      <c r="D13" s="37" t="n">
        <v>2</v>
      </c>
      <c r="E13" s="37" t="n">
        <v>2</v>
      </c>
      <c r="F13" s="37" t="n">
        <v>0</v>
      </c>
      <c r="G13" s="37" t="n">
        <v>0</v>
      </c>
      <c r="H13" s="37" t="n">
        <v>0</v>
      </c>
      <c r="I13" s="37" t="n">
        <v>0</v>
      </c>
      <c r="J13" s="40" t="n">
        <v>1</v>
      </c>
      <c r="K13" s="44" t="n"/>
      <c r="L13" s="37" t="n"/>
      <c r="M13" s="37" t="n"/>
      <c r="N13" s="45" t="n"/>
    </row>
    <row r="14" ht="15" customHeight="1" s="28">
      <c r="A14" s="32" t="inlineStr">
        <is>
          <t>Mariano Porras</t>
        </is>
      </c>
      <c r="B14" s="32" t="inlineStr">
        <is>
          <t>Cerveceros</t>
        </is>
      </c>
      <c r="C14" s="37" t="n">
        <v>2</v>
      </c>
      <c r="D14" s="37" t="n">
        <v>2</v>
      </c>
      <c r="E14" s="37" t="n">
        <v>1</v>
      </c>
      <c r="F14" s="37" t="n">
        <v>0</v>
      </c>
      <c r="G14" s="37" t="n">
        <v>0</v>
      </c>
      <c r="H14" s="37" t="n">
        <v>0</v>
      </c>
      <c r="I14" s="37" t="n">
        <v>0</v>
      </c>
      <c r="J14" s="40" t="n">
        <v>0.5</v>
      </c>
      <c r="K14" s="44" t="n"/>
      <c r="L14" s="37" t="n"/>
      <c r="M14" s="37" t="n"/>
      <c r="N14" s="45" t="n"/>
    </row>
    <row r="15" ht="15" customHeight="1" s="28">
      <c r="A15" s="32" t="inlineStr">
        <is>
          <t>Victor Porras</t>
        </is>
      </c>
      <c r="B15" s="32" t="inlineStr">
        <is>
          <t>Cerveceros</t>
        </is>
      </c>
      <c r="C15" s="37" t="n">
        <v>1</v>
      </c>
      <c r="D15" s="37" t="n">
        <v>1</v>
      </c>
      <c r="E15" s="37" t="n">
        <v>1</v>
      </c>
      <c r="F15" s="37" t="n">
        <v>0</v>
      </c>
      <c r="G15" s="37" t="n">
        <v>0</v>
      </c>
      <c r="H15" s="37" t="n">
        <v>0</v>
      </c>
      <c r="I15" s="37" t="n">
        <v>0</v>
      </c>
      <c r="J15" s="40" t="n">
        <v>1</v>
      </c>
      <c r="K15" s="44" t="n"/>
      <c r="L15" s="37" t="n"/>
      <c r="M15" s="37" t="n"/>
      <c r="N15" s="45" t="n"/>
    </row>
    <row r="16" ht="15" customHeight="1" s="28">
      <c r="A16" s="32" t="inlineStr">
        <is>
          <t>Alexander Salas</t>
        </is>
      </c>
      <c r="B16" s="32" t="inlineStr">
        <is>
          <t>Cerveceros</t>
        </is>
      </c>
      <c r="C16" s="37" t="n">
        <v>1</v>
      </c>
      <c r="D16" s="37" t="n">
        <v>1</v>
      </c>
      <c r="E16" s="37" t="n">
        <v>0</v>
      </c>
      <c r="F16" s="37" t="n">
        <v>0</v>
      </c>
      <c r="G16" s="37" t="n">
        <v>0</v>
      </c>
      <c r="H16" s="37" t="n">
        <v>0</v>
      </c>
      <c r="I16" s="37" t="n">
        <v>0</v>
      </c>
      <c r="J16" s="40" t="n">
        <v>0</v>
      </c>
      <c r="K16" s="44" t="n"/>
      <c r="L16" s="37" t="n"/>
      <c r="M16" s="37" t="n"/>
      <c r="N16" s="45" t="n"/>
    </row>
    <row r="17" ht="15" customHeight="1" s="28">
      <c r="A17" s="32" t="inlineStr">
        <is>
          <t>Angel Lopez</t>
        </is>
      </c>
      <c r="B17" s="32" t="inlineStr">
        <is>
          <t>Cerveceros</t>
        </is>
      </c>
      <c r="C17" s="37" t="n">
        <v>2</v>
      </c>
      <c r="D17" s="37" t="n">
        <v>2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40" t="n">
        <v>0</v>
      </c>
      <c r="K17" s="44" t="n"/>
      <c r="L17" s="37" t="n"/>
      <c r="M17" s="37" t="n"/>
      <c r="N17" s="45" t="n"/>
    </row>
    <row r="18" ht="15" customHeight="1" s="28">
      <c r="A18" s="32" t="inlineStr">
        <is>
          <t>Daniel Melendez</t>
        </is>
      </c>
      <c r="B18" s="32" t="inlineStr">
        <is>
          <t>Cerveceros</t>
        </is>
      </c>
      <c r="C18" s="37" t="n">
        <v>1</v>
      </c>
      <c r="D18" s="37" t="n">
        <v>2</v>
      </c>
      <c r="E18" s="37" t="n">
        <v>0</v>
      </c>
      <c r="F18" s="37" t="n">
        <v>0</v>
      </c>
      <c r="G18" s="37" t="n">
        <v>0</v>
      </c>
      <c r="H18" s="37" t="n">
        <v>0</v>
      </c>
      <c r="I18" s="37" t="n">
        <v>0</v>
      </c>
      <c r="J18" s="40" t="n">
        <v>0</v>
      </c>
      <c r="K18" s="44" t="n"/>
      <c r="L18" s="37" t="n"/>
      <c r="M18" s="37" t="n"/>
      <c r="N18" s="45" t="n"/>
    </row>
    <row r="19" ht="15" customHeight="1" s="28">
      <c r="A19" s="32" t="inlineStr">
        <is>
          <t>Johan Caracas</t>
        </is>
      </c>
      <c r="B19" s="32" t="inlineStr">
        <is>
          <t>Cerveceros</t>
        </is>
      </c>
      <c r="C19" s="37" t="n">
        <v>2</v>
      </c>
      <c r="D19" s="37" t="n">
        <v>3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40" t="n">
        <v>0</v>
      </c>
      <c r="K19" s="44" t="n"/>
      <c r="L19" s="37" t="n"/>
      <c r="M19" s="37" t="n"/>
      <c r="N19" s="45" t="n"/>
    </row>
    <row r="20" ht="15" customHeight="1" s="28">
      <c r="A20" s="32" t="inlineStr">
        <is>
          <t>Luis Anzola</t>
        </is>
      </c>
      <c r="B20" s="32" t="inlineStr">
        <is>
          <t>Cerveceros</t>
        </is>
      </c>
      <c r="C20" s="37" t="n">
        <v>1</v>
      </c>
      <c r="D20" s="37" t="n">
        <v>2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40" t="n">
        <v>0</v>
      </c>
      <c r="K20" s="44" t="n"/>
      <c r="L20" s="37" t="n"/>
      <c r="M20" s="37" t="n"/>
      <c r="N20" s="45" t="n"/>
    </row>
    <row r="21" ht="15" customHeight="1" s="28">
      <c r="A21" s="32" t="inlineStr">
        <is>
          <t>Luis Marquez</t>
        </is>
      </c>
      <c r="B21" s="32" t="inlineStr">
        <is>
          <t>Cerveceros</t>
        </is>
      </c>
      <c r="C21" s="37" t="n">
        <v>1</v>
      </c>
      <c r="D21" s="37" t="n">
        <v>2</v>
      </c>
      <c r="E21" s="37" t="n">
        <v>0</v>
      </c>
      <c r="F21" s="37" t="n">
        <v>0</v>
      </c>
      <c r="G21" s="37" t="n">
        <v>0</v>
      </c>
      <c r="H21" s="37" t="n">
        <v>0</v>
      </c>
      <c r="I21" s="37" t="n">
        <v>0</v>
      </c>
      <c r="J21" s="40" t="n">
        <v>0</v>
      </c>
      <c r="K21" s="44" t="n"/>
      <c r="L21" s="37" t="n"/>
      <c r="M21" s="37" t="n"/>
      <c r="N21" s="45" t="n"/>
    </row>
    <row r="22" ht="15" customHeight="1" s="28">
      <c r="A22" s="32" t="inlineStr">
        <is>
          <t>Rolando Roquebert</t>
        </is>
      </c>
      <c r="B22" s="32" t="inlineStr">
        <is>
          <t>Cerveceros</t>
        </is>
      </c>
      <c r="C22" s="37" t="n">
        <v>1</v>
      </c>
      <c r="D22" s="37" t="n">
        <v>2</v>
      </c>
      <c r="E22" s="37" t="n">
        <v>0</v>
      </c>
      <c r="F22" s="37" t="n">
        <v>0</v>
      </c>
      <c r="G22" s="37" t="n">
        <v>0</v>
      </c>
      <c r="H22" s="37" t="n">
        <v>0</v>
      </c>
      <c r="I22" s="37" t="n">
        <v>0</v>
      </c>
      <c r="J22" s="40" t="n">
        <v>0</v>
      </c>
      <c r="K22" s="44" t="n"/>
      <c r="L22" s="37" t="n"/>
      <c r="M22" s="37" t="n"/>
      <c r="N22" s="45" t="n"/>
    </row>
    <row r="2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16" customWidth="1" style="27" min="2" max="2"/>
    <col width="6" customWidth="1" style="27" min="3" max="9"/>
    <col width="8" customWidth="1" style="27" min="10" max="10"/>
    <col width="6" customWidth="1" style="27" min="11" max="13"/>
    <col width="8" customWidth="1" style="27" min="14" max="14"/>
  </cols>
  <sheetData>
    <row r="1" ht="19.5" customHeight="1" s="28">
      <c r="A1" s="29" t="inlineStr">
        <is>
          <t>Fantasía</t>
        </is>
      </c>
    </row>
    <row r="2" ht="15" customHeight="1" s="28">
      <c r="A2" s="35" t="inlineStr">
        <is>
          <t>Meracho Senior · Temporada 22 · corte después de la jornada 2 (miércoles 28 oct 2026)</t>
        </is>
      </c>
    </row>
    <row r="4" ht="19.5" customHeight="1" s="28">
      <c r="A4" s="42" t="inlineStr">
        <is>
          <t>Jugador</t>
        </is>
      </c>
      <c r="B4" s="42" t="inlineStr">
        <is>
          <t>Equipo</t>
        </is>
      </c>
      <c r="C4" s="43" t="inlineStr">
        <is>
          <t>JJ</t>
        </is>
      </c>
      <c r="D4" s="43" t="inlineStr">
        <is>
          <t>VB</t>
        </is>
      </c>
      <c r="E4" s="43" t="inlineStr">
        <is>
          <t>H</t>
        </is>
      </c>
      <c r="F4" s="43" t="inlineStr">
        <is>
          <t>2B</t>
        </is>
      </c>
      <c r="G4" s="43" t="inlineStr">
        <is>
          <t>3B</t>
        </is>
      </c>
      <c r="H4" s="43" t="inlineStr">
        <is>
          <t>HR</t>
        </is>
      </c>
      <c r="I4" s="43" t="inlineStr">
        <is>
          <t>CI</t>
        </is>
      </c>
      <c r="J4" s="43" t="inlineStr">
        <is>
          <t>PRO</t>
        </is>
      </c>
      <c r="K4" s="43" t="inlineStr">
        <is>
          <t>EL</t>
        </is>
      </c>
      <c r="L4" s="43" t="inlineStr">
        <is>
          <t>JG</t>
        </is>
      </c>
      <c r="M4" s="43" t="inlineStr">
        <is>
          <t>K</t>
        </is>
      </c>
      <c r="N4" s="43" t="inlineStr">
        <is>
          <t>EFE</t>
        </is>
      </c>
    </row>
    <row r="5" ht="15" customHeight="1" s="28">
      <c r="A5" s="32" t="inlineStr">
        <is>
          <t>Jorge González</t>
        </is>
      </c>
      <c r="B5" s="32" t="inlineStr">
        <is>
          <t>Fantasía</t>
        </is>
      </c>
      <c r="C5" s="37" t="n">
        <v>2</v>
      </c>
      <c r="D5" s="37" t="n">
        <v>4</v>
      </c>
      <c r="E5" s="37" t="n">
        <v>2</v>
      </c>
      <c r="F5" s="37" t="n">
        <v>1</v>
      </c>
      <c r="G5" s="37" t="n">
        <v>1</v>
      </c>
      <c r="H5" s="37" t="n">
        <v>0</v>
      </c>
      <c r="I5" s="37" t="n">
        <v>5</v>
      </c>
      <c r="J5" s="40" t="n">
        <v>0.5</v>
      </c>
      <c r="K5" s="44" t="n"/>
      <c r="L5" s="37" t="n"/>
      <c r="M5" s="37" t="n"/>
      <c r="N5" s="45" t="n"/>
    </row>
    <row r="6" ht="15" customHeight="1" s="28">
      <c r="A6" s="32" t="inlineStr">
        <is>
          <t>Daniel Torrealba</t>
        </is>
      </c>
      <c r="B6" s="32" t="inlineStr">
        <is>
          <t>Fantasía</t>
        </is>
      </c>
      <c r="C6" s="37" t="n">
        <v>2</v>
      </c>
      <c r="D6" s="37" t="n">
        <v>7</v>
      </c>
      <c r="E6" s="37" t="n">
        <v>5</v>
      </c>
      <c r="F6" s="37" t="n">
        <v>0</v>
      </c>
      <c r="G6" s="37" t="n">
        <v>1</v>
      </c>
      <c r="H6" s="37" t="n">
        <v>0</v>
      </c>
      <c r="I6" s="37" t="n">
        <v>4</v>
      </c>
      <c r="J6" s="40" t="n">
        <v>0.714</v>
      </c>
      <c r="K6" s="44" t="n"/>
      <c r="L6" s="37" t="n"/>
      <c r="M6" s="37" t="n"/>
      <c r="N6" s="45" t="n"/>
    </row>
    <row r="7" ht="15" customHeight="1" s="28">
      <c r="A7" s="32" t="inlineStr">
        <is>
          <t>José Camacho</t>
        </is>
      </c>
      <c r="B7" s="32" t="inlineStr">
        <is>
          <t>Fantasía</t>
        </is>
      </c>
      <c r="C7" s="37" t="n">
        <v>2</v>
      </c>
      <c r="D7" s="37" t="n">
        <v>8</v>
      </c>
      <c r="E7" s="37" t="n">
        <v>4</v>
      </c>
      <c r="F7" s="37" t="n">
        <v>3</v>
      </c>
      <c r="G7" s="37" t="n">
        <v>0</v>
      </c>
      <c r="H7" s="37" t="n">
        <v>0</v>
      </c>
      <c r="I7" s="37" t="n">
        <v>4</v>
      </c>
      <c r="J7" s="40" t="n">
        <v>0.5</v>
      </c>
      <c r="K7" s="44" t="n"/>
      <c r="L7" s="37" t="n"/>
      <c r="M7" s="37" t="n"/>
      <c r="N7" s="45" t="n"/>
    </row>
    <row r="8" ht="15" customHeight="1" s="28">
      <c r="A8" s="32" t="inlineStr">
        <is>
          <t>Nelson Meléndez</t>
        </is>
      </c>
      <c r="B8" s="32" t="inlineStr">
        <is>
          <t>Fantasía</t>
        </is>
      </c>
      <c r="C8" s="37" t="n">
        <v>2</v>
      </c>
      <c r="D8" s="37" t="n">
        <v>5</v>
      </c>
      <c r="E8" s="37" t="n">
        <v>4</v>
      </c>
      <c r="F8" s="37" t="n">
        <v>2</v>
      </c>
      <c r="G8" s="37" t="n">
        <v>1</v>
      </c>
      <c r="H8" s="37" t="n">
        <v>0</v>
      </c>
      <c r="I8" s="37" t="n">
        <v>3</v>
      </c>
      <c r="J8" s="40" t="n">
        <v>0.8</v>
      </c>
      <c r="K8" s="44" t="n"/>
      <c r="L8" s="37" t="n"/>
      <c r="M8" s="37" t="n"/>
      <c r="N8" s="45" t="n"/>
    </row>
    <row r="9" ht="15" customHeight="1" s="28">
      <c r="A9" s="32" t="inlineStr">
        <is>
          <t>Moisés Tenorio</t>
        </is>
      </c>
      <c r="B9" s="32" t="inlineStr">
        <is>
          <t>Fantasía</t>
        </is>
      </c>
      <c r="C9" s="37" t="n">
        <v>2</v>
      </c>
      <c r="D9" s="37" t="n">
        <v>6</v>
      </c>
      <c r="E9" s="37" t="n">
        <v>2</v>
      </c>
      <c r="F9" s="37" t="n">
        <v>0</v>
      </c>
      <c r="G9" s="37" t="n">
        <v>0</v>
      </c>
      <c r="H9" s="37" t="n">
        <v>0</v>
      </c>
      <c r="I9" s="37" t="n">
        <v>2</v>
      </c>
      <c r="J9" s="40" t="n">
        <v>0.333</v>
      </c>
      <c r="K9" s="44" t="n"/>
      <c r="L9" s="37" t="n"/>
      <c r="M9" s="37" t="n"/>
      <c r="N9" s="45" t="n"/>
    </row>
    <row r="10" ht="15" customHeight="1" s="28">
      <c r="A10" s="32" t="inlineStr">
        <is>
          <t>Josue Bragley</t>
        </is>
      </c>
      <c r="B10" s="32" t="inlineStr">
        <is>
          <t>Fantasía</t>
        </is>
      </c>
      <c r="C10" s="37" t="n">
        <v>1</v>
      </c>
      <c r="D10" s="37" t="n">
        <v>2</v>
      </c>
      <c r="E10" s="37" t="n">
        <v>2</v>
      </c>
      <c r="F10" s="37" t="n">
        <v>0</v>
      </c>
      <c r="G10" s="37" t="n">
        <v>0</v>
      </c>
      <c r="H10" s="37" t="n">
        <v>0</v>
      </c>
      <c r="I10" s="37" t="n">
        <v>1</v>
      </c>
      <c r="J10" s="40" t="n">
        <v>1</v>
      </c>
      <c r="K10" s="44" t="n">
        <v>7.1</v>
      </c>
      <c r="L10" s="37" t="n">
        <v>1</v>
      </c>
      <c r="M10" s="37" t="n">
        <v>0</v>
      </c>
      <c r="N10" s="45" t="n">
        <v>5.73</v>
      </c>
    </row>
    <row r="11" ht="15" customHeight="1" s="28">
      <c r="A11" s="32" t="inlineStr">
        <is>
          <t>Noel Samudio</t>
        </is>
      </c>
      <c r="B11" s="32" t="inlineStr">
        <is>
          <t>Fantasía</t>
        </is>
      </c>
      <c r="C11" s="37" t="n">
        <v>1</v>
      </c>
      <c r="D11" s="37" t="n">
        <v>3</v>
      </c>
      <c r="E11" s="37" t="n">
        <v>2</v>
      </c>
      <c r="F11" s="37" t="n">
        <v>0</v>
      </c>
      <c r="G11" s="37" t="n">
        <v>1</v>
      </c>
      <c r="H11" s="37" t="n">
        <v>0</v>
      </c>
      <c r="I11" s="37" t="n">
        <v>1</v>
      </c>
      <c r="J11" s="40" t="n">
        <v>0.667</v>
      </c>
      <c r="K11" s="44" t="n"/>
      <c r="L11" s="37" t="n"/>
      <c r="M11" s="37" t="n"/>
      <c r="N11" s="45" t="n"/>
    </row>
    <row r="12" ht="15" customHeight="1" s="28">
      <c r="A12" s="32" t="inlineStr">
        <is>
          <t>Ricardo Martin</t>
        </is>
      </c>
      <c r="B12" s="32" t="inlineStr">
        <is>
          <t>Fantasía</t>
        </is>
      </c>
      <c r="C12" s="37" t="n">
        <v>1</v>
      </c>
      <c r="D12" s="37" t="n">
        <v>1</v>
      </c>
      <c r="E12" s="37" t="n">
        <v>1</v>
      </c>
      <c r="F12" s="37" t="n">
        <v>0</v>
      </c>
      <c r="G12" s="37" t="n">
        <v>0</v>
      </c>
      <c r="H12" s="37" t="n">
        <v>0</v>
      </c>
      <c r="I12" s="37" t="n">
        <v>1</v>
      </c>
      <c r="J12" s="40" t="n">
        <v>1</v>
      </c>
      <c r="K12" s="44" t="n"/>
      <c r="L12" s="37" t="n"/>
      <c r="M12" s="37" t="n"/>
      <c r="N12" s="45" t="n"/>
    </row>
    <row r="13" ht="15" customHeight="1" s="28">
      <c r="A13" s="32" t="inlineStr">
        <is>
          <t>José Luis Frías</t>
        </is>
      </c>
      <c r="B13" s="32" t="inlineStr">
        <is>
          <t>Fantasía</t>
        </is>
      </c>
      <c r="C13" s="37" t="n">
        <v>1</v>
      </c>
      <c r="D13" s="37" t="n">
        <v>2</v>
      </c>
      <c r="E13" s="37" t="n">
        <v>0</v>
      </c>
      <c r="F13" s="37" t="n">
        <v>0</v>
      </c>
      <c r="G13" s="37" t="n">
        <v>0</v>
      </c>
      <c r="H13" s="37" t="n">
        <v>0</v>
      </c>
      <c r="I13" s="37" t="n">
        <v>1</v>
      </c>
      <c r="J13" s="40" t="n">
        <v>0</v>
      </c>
      <c r="K13" s="44" t="n"/>
      <c r="L13" s="37" t="n"/>
      <c r="M13" s="37" t="n"/>
      <c r="N13" s="45" t="n"/>
    </row>
    <row r="14" ht="15" customHeight="1" s="28">
      <c r="A14" s="32" t="inlineStr">
        <is>
          <t>Abdiel Cerrud</t>
        </is>
      </c>
      <c r="B14" s="32" t="inlineStr">
        <is>
          <t>Fantasía</t>
        </is>
      </c>
      <c r="C14" s="37" t="n">
        <v>2</v>
      </c>
      <c r="D14" s="37" t="n">
        <v>6</v>
      </c>
      <c r="E14" s="37" t="n">
        <v>1</v>
      </c>
      <c r="F14" s="37" t="n">
        <v>0</v>
      </c>
      <c r="G14" s="37" t="n">
        <v>0</v>
      </c>
      <c r="H14" s="37" t="n">
        <v>0</v>
      </c>
      <c r="I14" s="37" t="n">
        <v>0</v>
      </c>
      <c r="J14" s="40" t="n">
        <v>0.167</v>
      </c>
      <c r="K14" s="44" t="n"/>
      <c r="L14" s="37" t="n"/>
      <c r="M14" s="37" t="n"/>
      <c r="N14" s="45" t="n"/>
    </row>
    <row r="15" ht="15" customHeight="1" s="28">
      <c r="A15" s="32" t="inlineStr">
        <is>
          <t>Diego Caballero</t>
        </is>
      </c>
      <c r="B15" s="32" t="inlineStr">
        <is>
          <t>Fantasía</t>
        </is>
      </c>
      <c r="C15" s="37" t="n">
        <v>1</v>
      </c>
      <c r="D15" s="37" t="n">
        <v>1</v>
      </c>
      <c r="E15" s="37" t="n">
        <v>1</v>
      </c>
      <c r="F15" s="37" t="n">
        <v>1</v>
      </c>
      <c r="G15" s="37" t="n">
        <v>0</v>
      </c>
      <c r="H15" s="37" t="n">
        <v>0</v>
      </c>
      <c r="I15" s="37" t="n">
        <v>0</v>
      </c>
      <c r="J15" s="40" t="n">
        <v>1</v>
      </c>
      <c r="K15" s="44" t="n"/>
      <c r="L15" s="37" t="n"/>
      <c r="M15" s="37" t="n"/>
      <c r="N15" s="45" t="n"/>
    </row>
    <row r="16" ht="15" customHeight="1" s="28">
      <c r="A16" s="32" t="inlineStr">
        <is>
          <t>Héctor Vergara</t>
        </is>
      </c>
      <c r="B16" s="32" t="inlineStr">
        <is>
          <t>Fantasía</t>
        </is>
      </c>
      <c r="C16" s="37" t="n">
        <v>2</v>
      </c>
      <c r="D16" s="37" t="n">
        <v>4</v>
      </c>
      <c r="E16" s="37" t="n">
        <v>1</v>
      </c>
      <c r="F16" s="37" t="n">
        <v>0</v>
      </c>
      <c r="G16" s="37" t="n">
        <v>1</v>
      </c>
      <c r="H16" s="37" t="n">
        <v>0</v>
      </c>
      <c r="I16" s="37" t="n">
        <v>0</v>
      </c>
      <c r="J16" s="40" t="n">
        <v>0.25</v>
      </c>
      <c r="K16" s="44" t="n"/>
      <c r="L16" s="37" t="n"/>
      <c r="M16" s="37" t="n"/>
      <c r="N16" s="45" t="n"/>
    </row>
    <row r="17" ht="15" customHeight="1" s="28">
      <c r="A17" s="32" t="inlineStr">
        <is>
          <t>Jonathan Santos</t>
        </is>
      </c>
      <c r="B17" s="32" t="inlineStr">
        <is>
          <t>Fantasía</t>
        </is>
      </c>
      <c r="C17" s="37" t="n">
        <v>2</v>
      </c>
      <c r="D17" s="37" t="n">
        <v>5</v>
      </c>
      <c r="E17" s="37" t="n">
        <v>1</v>
      </c>
      <c r="F17" s="37" t="n">
        <v>0</v>
      </c>
      <c r="G17" s="37" t="n">
        <v>0</v>
      </c>
      <c r="H17" s="37" t="n">
        <v>0</v>
      </c>
      <c r="I17" s="37" t="n">
        <v>0</v>
      </c>
      <c r="J17" s="40" t="n">
        <v>0.2</v>
      </c>
      <c r="K17" s="44" t="n"/>
      <c r="L17" s="37" t="n"/>
      <c r="M17" s="37" t="n"/>
      <c r="N17" s="45" t="n"/>
    </row>
    <row r="18" ht="15" customHeight="1" s="28">
      <c r="A18" s="32" t="inlineStr">
        <is>
          <t>Virgilio Parra</t>
        </is>
      </c>
      <c r="B18" s="32" t="inlineStr">
        <is>
          <t>Fantasía</t>
        </is>
      </c>
      <c r="C18" s="37" t="n">
        <v>2</v>
      </c>
      <c r="D18" s="37" t="n">
        <v>3</v>
      </c>
      <c r="E18" s="37" t="n">
        <v>1</v>
      </c>
      <c r="F18" s="37" t="n">
        <v>0</v>
      </c>
      <c r="G18" s="37" t="n">
        <v>0</v>
      </c>
      <c r="H18" s="37" t="n">
        <v>0</v>
      </c>
      <c r="I18" s="37" t="n">
        <v>0</v>
      </c>
      <c r="J18" s="40" t="n">
        <v>0.333</v>
      </c>
      <c r="K18" s="44" t="n">
        <v>2.2</v>
      </c>
      <c r="L18" s="37" t="n">
        <v>0</v>
      </c>
      <c r="M18" s="37" t="n">
        <v>0</v>
      </c>
      <c r="N18" s="45" t="n">
        <v>31.5</v>
      </c>
    </row>
    <row r="19" ht="15" customHeight="1" s="28">
      <c r="A19" s="32" t="n"/>
      <c r="B19" s="32" t="n"/>
      <c r="C19" s="37" t="n"/>
      <c r="D19" s="37" t="n"/>
      <c r="E19" s="37" t="n"/>
      <c r="F19" s="37" t="n"/>
      <c r="G19" s="37" t="n"/>
      <c r="H19" s="37" t="n"/>
      <c r="I19" s="37" t="n"/>
      <c r="J19" s="40" t="n"/>
      <c r="K19" s="44" t="n"/>
      <c r="L19" s="37" t="n"/>
      <c r="M19" s="37" t="n"/>
      <c r="N19" s="45" t="n"/>
    </row>
    <row r="20" ht="15" customHeight="1" s="28">
      <c r="A20" s="50" t="n"/>
      <c r="B20" s="51" t="n"/>
      <c r="C20" s="51" t="n"/>
      <c r="D20" s="52" t="n"/>
      <c r="E20" s="52" t="n"/>
      <c r="F20" s="52" t="n"/>
      <c r="G20" s="52" t="n"/>
      <c r="H20" s="52" t="n"/>
      <c r="I20" s="52" t="n"/>
      <c r="J20" s="51" t="n"/>
      <c r="K20" s="53" t="n"/>
      <c r="L20" s="52" t="n"/>
      <c r="M20" s="52" t="n"/>
      <c r="N20" s="5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2026-09-11T13:47:16Z</dcterms:created>
  <dcterms:modified xmlns:dcterms="http://purl.org/dc/terms/" xmlns:xsi="http://www.w3.org/2001/XMLSchema-instance" xsi:type="dcterms:W3CDTF">2026-10-29T13:40:08Z</dcterms:modified>
  <cp:revision>0</cp:revision>
</cp:coreProperties>
</file>