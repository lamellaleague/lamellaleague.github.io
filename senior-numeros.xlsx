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éeme" sheetId="1" state="visible" r:id="rId3"/>
    <sheet name="Tabla" sheetId="2" state="visible" r:id="rId4"/>
    <sheet name="Resultados" sheetId="3" state="visible" r:id="rId5"/>
    <sheet name="Todos" sheetId="4" state="visible" r:id="rId6"/>
    <sheet name="Team Trampa" sheetId="5" state="visible" r:id="rId7"/>
    <sheet name="White Lions" sheetId="6" state="visible" r:id="rId8"/>
    <sheet name="Fantasía" sheetId="7" state="visible" r:id="rId9"/>
    <sheet name="Colegio Javier" sheetId="8" state="visible" r:id="rId10"/>
  </sheets>
  <definedNames>
    <definedName function="false" hidden="true" localSheetId="3" name="_xlnm._FilterDatabase" vbProcedure="false">Todos!$A$4:$N$63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<sst xmlns="http://schemas.openxmlformats.org/spreadsheetml/2006/main" count="394" uniqueCount="130">
  <si>
    <t xml:space="preserve">Números del Meracho Senior · La Mella League</t>
  </si>
  <si>
    <t xml:space="preserve">Liga</t>
  </si>
  <si>
    <t xml:space="preserve">Meracho Senior · Temporada 21 · miércoles en el Complejo Deportivo del MEF, Albrook</t>
  </si>
  <si>
    <t xml:space="preserve">Corte</t>
  </si>
  <si>
    <t xml:space="preserve">Después de la jornada 1 (miércoles 16 de septiembre de 2026)</t>
  </si>
  <si>
    <t xml:space="preserve">Hojas</t>
  </si>
  <si>
    <t xml:space="preserve">«Todos» trae a los 59 jugadores que salieron al juego; hay una hoja por equipo con su total; «Resultados» y «Tabla» traen los juegos y las posiciones.</t>
  </si>
  <si>
    <t xml:space="preserve">Premios</t>
  </si>
  <si>
    <t xml:space="preserve">Impulsadas (CI) en bateo y juegos ganados (JG) en pitcheo. Filtro: haber jugado al menos el 60% de los juegos del equipo. Se congelan con el último juego de la fase regular.</t>
  </si>
  <si>
    <t xml:space="preserve">Abreviaturas</t>
  </si>
  <si>
    <t xml:space="preserve">JJ</t>
  </si>
  <si>
    <t xml:space="preserve">Juegos jugados</t>
  </si>
  <si>
    <t xml:space="preserve">AP</t>
  </si>
  <si>
    <t xml:space="preserve">Apariciones al plato</t>
  </si>
  <si>
    <t xml:space="preserve">H</t>
  </si>
  <si>
    <t xml:space="preserve">Hits</t>
  </si>
  <si>
    <t xml:space="preserve">2B</t>
  </si>
  <si>
    <t xml:space="preserve">Dobles</t>
  </si>
  <si>
    <t xml:space="preserve">3B</t>
  </si>
  <si>
    <t xml:space="preserve">Triples</t>
  </si>
  <si>
    <t xml:space="preserve">HR</t>
  </si>
  <si>
    <t xml:space="preserve">Jonrones</t>
  </si>
  <si>
    <t xml:space="preserve">CI</t>
  </si>
  <si>
    <t xml:space="preserve">Carreras impulsadas</t>
  </si>
  <si>
    <t xml:space="preserve">PRO</t>
  </si>
  <si>
    <t xml:space="preserve">Promedio de bateo</t>
  </si>
  <si>
    <t xml:space="preserve">EL</t>
  </si>
  <si>
    <t xml:space="preserve">Entradas lanzadas</t>
  </si>
  <si>
    <t xml:space="preserve">JG</t>
  </si>
  <si>
    <t xml:space="preserve">Juegos ganados</t>
  </si>
  <si>
    <t xml:space="preserve">K</t>
  </si>
  <si>
    <t xml:space="preserve">Ponches</t>
  </si>
  <si>
    <t xml:space="preserve">EFE</t>
  </si>
  <si>
    <t xml:space="preserve">Efectividad sobre 7 entradas</t>
  </si>
  <si>
    <t xml:space="preserve">Página</t>
  </si>
  <si>
    <t xml:space="preserve">lamellaleague.github.io · calendarios, tablas y números de todas las ligas</t>
  </si>
  <si>
    <t xml:space="preserve">Tabla de posiciones</t>
  </si>
  <si>
    <t xml:space="preserve">Se calcula sola desde la hoja «Resultados». El orden sigue el reglamento de desempates de La Mella y se revisa cada semana.</t>
  </si>
  <si>
    <t xml:space="preserve">#</t>
  </si>
  <si>
    <t xml:space="preserve">Equipo</t>
  </si>
  <si>
    <t xml:space="preserve">G</t>
  </si>
  <si>
    <t xml:space="preserve">P</t>
  </si>
  <si>
    <t xml:space="preserve">CA</t>
  </si>
  <si>
    <t xml:space="preserve">CP</t>
  </si>
  <si>
    <t xml:space="preserve">DIF</t>
  </si>
  <si>
    <t xml:space="preserve">PCT</t>
  </si>
  <si>
    <t xml:space="preserve">1</t>
  </si>
  <si>
    <t xml:space="preserve">Team Trampa</t>
  </si>
  <si>
    <t xml:space="preserve">2</t>
  </si>
  <si>
    <t xml:space="preserve">White Lions</t>
  </si>
  <si>
    <t xml:space="preserve">3</t>
  </si>
  <si>
    <t xml:space="preserve">Fantasía</t>
  </si>
  <si>
    <t xml:space="preserve">4</t>
  </si>
  <si>
    <t xml:space="preserve">Colegio Javier</t>
  </si>
  <si>
    <t xml:space="preserve">Desempate tras la jornada 1: Team Trampa sobre White Lions y Fantasía sobre Colegio Javier por diferencia de carreras (no se han enfrentado).</t>
  </si>
  <si>
    <t xml:space="preserve">Resultados</t>
  </si>
  <si>
    <t xml:space="preserve">Marcador final de cada juego.</t>
  </si>
  <si>
    <t xml:space="preserve">Jornada</t>
  </si>
  <si>
    <t xml:space="preserve">Fecha</t>
  </si>
  <si>
    <t xml:space="preserve">Hora</t>
  </si>
  <si>
    <t xml:space="preserve">Visitante</t>
  </si>
  <si>
    <t xml:space="preserve">C</t>
  </si>
  <si>
    <t xml:space="preserve">Local</t>
  </si>
  <si>
    <t xml:space="preserve">Entradas</t>
  </si>
  <si>
    <t xml:space="preserve">mié 16 sep</t>
  </si>
  <si>
    <t xml:space="preserve">7:30 pm</t>
  </si>
  <si>
    <t xml:space="preserve">9:00 pm</t>
  </si>
  <si>
    <t xml:space="preserve">Todos los jugadores</t>
  </si>
  <si>
    <t xml:space="preserve">Meracho Senior · Temporada 21 · corte después de la jornada 1 (miércoles 16 sep 2026)</t>
  </si>
  <si>
    <t xml:space="preserve">Jugador</t>
  </si>
  <si>
    <t xml:space="preserve">Luis Aponte</t>
  </si>
  <si>
    <t xml:space="preserve">Angel Rodriguez</t>
  </si>
  <si>
    <t xml:space="preserve">Luis Falcon</t>
  </si>
  <si>
    <t xml:space="preserve">Jhon Brenan</t>
  </si>
  <si>
    <t xml:space="preserve">Oscar Lopez</t>
  </si>
  <si>
    <t xml:space="preserve">Jair Best</t>
  </si>
  <si>
    <t xml:space="preserve">Virgilio Santos</t>
  </si>
  <si>
    <t xml:space="preserve">Josue Vega</t>
  </si>
  <si>
    <t xml:space="preserve">Oscar Felibert</t>
  </si>
  <si>
    <t xml:space="preserve">Jair Gonzalez</t>
  </si>
  <si>
    <t xml:space="preserve">Jorge Chevez</t>
  </si>
  <si>
    <t xml:space="preserve">Roberto Salas</t>
  </si>
  <si>
    <t xml:space="preserve">Oscar De Leon</t>
  </si>
  <si>
    <t xml:space="preserve">Micky Sanchez</t>
  </si>
  <si>
    <t xml:space="preserve">Luis Casis</t>
  </si>
  <si>
    <t xml:space="preserve">Pablo Duran</t>
  </si>
  <si>
    <t xml:space="preserve">Oliver Rubio</t>
  </si>
  <si>
    <t xml:space="preserve">Gabriel Caballero</t>
  </si>
  <si>
    <t xml:space="preserve">Javier Nay</t>
  </si>
  <si>
    <t xml:space="preserve">Carlos Merida</t>
  </si>
  <si>
    <t xml:space="preserve">Jose Acevedo</t>
  </si>
  <si>
    <t xml:space="preserve">Edwin Lopez</t>
  </si>
  <si>
    <t xml:space="preserve">Roberto Marquez</t>
  </si>
  <si>
    <t xml:space="preserve">Emanuel Diaz</t>
  </si>
  <si>
    <t xml:space="preserve">Jossue Castillo</t>
  </si>
  <si>
    <t xml:space="preserve">Francisco Mena</t>
  </si>
  <si>
    <t xml:space="preserve">Cristian Bellido</t>
  </si>
  <si>
    <t xml:space="preserve">Julio Muñoz</t>
  </si>
  <si>
    <t xml:space="preserve">Luis Llorente</t>
  </si>
  <si>
    <t xml:space="preserve">Martin Paddy</t>
  </si>
  <si>
    <t xml:space="preserve">Josue Bragtley</t>
  </si>
  <si>
    <t xml:space="preserve">Alexis Hartman</t>
  </si>
  <si>
    <t xml:space="preserve">José Terriente</t>
  </si>
  <si>
    <t xml:space="preserve">Abi Vargas</t>
  </si>
  <si>
    <t xml:space="preserve">Abdiel Cerrud</t>
  </si>
  <si>
    <t xml:space="preserve">Kenny Van Gómez</t>
  </si>
  <si>
    <t xml:space="preserve">Héctor Vergara</t>
  </si>
  <si>
    <t xml:space="preserve">José Salas</t>
  </si>
  <si>
    <t xml:space="preserve">Daniel Torrealba</t>
  </si>
  <si>
    <t xml:space="preserve">Johnatan Santos</t>
  </si>
  <si>
    <t xml:space="preserve">José Camacho</t>
  </si>
  <si>
    <t xml:space="preserve">William Rodríguez</t>
  </si>
  <si>
    <t xml:space="preserve">Eric Yim</t>
  </si>
  <si>
    <t xml:space="preserve">Jorge Batista</t>
  </si>
  <si>
    <t xml:space="preserve">Eduardo Valarezo</t>
  </si>
  <si>
    <t xml:space="preserve">Félix Robles</t>
  </si>
  <si>
    <t xml:space="preserve">Erick Valdivieso</t>
  </si>
  <si>
    <t xml:space="preserve">Evair Montenegro</t>
  </si>
  <si>
    <t xml:space="preserve">Felix Alveo</t>
  </si>
  <si>
    <t xml:space="preserve">Rogelio Chávez</t>
  </si>
  <si>
    <t xml:space="preserve">Jorge León</t>
  </si>
  <si>
    <t xml:space="preserve">Javier López</t>
  </si>
  <si>
    <t xml:space="preserve">Alejandro Jaén</t>
  </si>
  <si>
    <t xml:space="preserve">Juan Carlos Bonilla</t>
  </si>
  <si>
    <t xml:space="preserve">Jefry Hernandez</t>
  </si>
  <si>
    <t xml:space="preserve">Jose Lee</t>
  </si>
  <si>
    <t xml:space="preserve">Jose Medina</t>
  </si>
  <si>
    <t xml:space="preserve">José Moreno</t>
  </si>
  <si>
    <t xml:space="preserve">Juanra Tam</t>
  </si>
  <si>
    <t xml:space="preserve">Total del equipo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</si>
</sst>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+0;\-0;0"/>
    <numFmt numFmtId="166" formatCode="0.000"/>
    <numFmt numFmtId="167" formatCode="0.0"/>
    <numFmt numFmtId="168" formatCode="0.00"/>
    <numFmt numFmtId="169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FEC"/>
        <bgColor rgb="FFCCFFFF"/>
      </patternFill>
    </fill>
    <fill>
      <patternFill patternType="solid">
        <fgColor rgb="FF14140E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medium">
        <color rgb="FF14140E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4140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F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14140E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00"/>
  </cols>
  <sheetData>
    <row r="1" customFormat="false" ht="19.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  <c r="B3" s="4" t="s">
        <v>2</v>
      </c>
    </row>
    <row r="4" customFormat="false" ht="15" hidden="false" customHeight="true" outlineLevel="0" collapsed="false">
      <c r="A4" s="3" t="s">
        <v>3</v>
      </c>
      <c r="B4" s="4" t="s">
        <v>4</v>
      </c>
    </row>
    <row r="5" customFormat="false" ht="15" hidden="false" customHeight="true" outlineLevel="0" collapsed="false">
      <c r="A5" s="3" t="s">
        <v>5</v>
      </c>
      <c r="B5" s="4" t="s">
        <v>6</v>
      </c>
    </row>
    <row r="6" customFormat="false" ht="23.25" hidden="false" customHeight="true" outlineLevel="0" collapsed="false">
      <c r="A6" s="3" t="s">
        <v>7</v>
      </c>
      <c r="B6" s="4" t="s">
        <v>8</v>
      </c>
    </row>
    <row r="7" customFormat="false" ht="23.25" hidden="false" customHeight="true" outlineLevel="0" collapsed="false">
      <c r="A7" s="3"/>
      <c r="B7" s="4"/>
    </row>
    <row r="8" customFormat="false" ht="23.25" hidden="false" customHeight="true" outlineLevel="0" collapsed="false">
      <c r="A8" s="3" t="s">
        <v>9</v>
      </c>
      <c r="B8" s="4"/>
    </row>
    <row r="9" customFormat="false" ht="15" hidden="false" customHeight="true" outlineLevel="0" collapsed="false">
      <c r="A9" s="3" t="s">
        <v>10</v>
      </c>
      <c r="B9" s="5" t="s">
        <v>11</v>
      </c>
    </row>
    <row r="10" customFormat="false" ht="15" hidden="false" customHeight="true" outlineLevel="0" collapsed="false">
      <c r="A10" s="3" t="s">
        <v>12</v>
      </c>
      <c r="B10" s="5" t="s">
        <v>13</v>
      </c>
    </row>
    <row r="11" customFormat="false" ht="15" hidden="false" customHeight="true" outlineLevel="0" collapsed="false">
      <c r="A11" s="3" t="s">
        <v>14</v>
      </c>
      <c r="B11" s="5" t="s">
        <v>15</v>
      </c>
    </row>
    <row r="12" customFormat="false" ht="15" hidden="false" customHeight="true" outlineLevel="0" collapsed="false">
      <c r="A12" s="3" t="s">
        <v>16</v>
      </c>
      <c r="B12" s="5" t="s">
        <v>17</v>
      </c>
    </row>
    <row r="13" customFormat="false" ht="15" hidden="false" customHeight="true" outlineLevel="0" collapsed="false">
      <c r="A13" s="3" t="s">
        <v>18</v>
      </c>
      <c r="B13" s="5" t="s">
        <v>19</v>
      </c>
    </row>
    <row r="14" customFormat="false" ht="15" hidden="false" customHeight="true" outlineLevel="0" collapsed="false">
      <c r="A14" s="3" t="s">
        <v>20</v>
      </c>
      <c r="B14" s="5" t="s">
        <v>21</v>
      </c>
    </row>
    <row r="15" customFormat="false" ht="15" hidden="false" customHeight="true" outlineLevel="0" collapsed="false">
      <c r="A15" s="3" t="s">
        <v>22</v>
      </c>
      <c r="B15" s="5" t="s">
        <v>23</v>
      </c>
    </row>
    <row r="16" customFormat="false" ht="15" hidden="false" customHeight="true" outlineLevel="0" collapsed="false">
      <c r="A16" s="3" t="s">
        <v>24</v>
      </c>
      <c r="B16" s="5" t="s">
        <v>25</v>
      </c>
    </row>
    <row r="17" customFormat="false" ht="15" hidden="false" customHeight="true" outlineLevel="0" collapsed="false">
      <c r="A17" s="3" t="s">
        <v>26</v>
      </c>
      <c r="B17" s="5" t="s">
        <v>27</v>
      </c>
    </row>
    <row r="18" customFormat="false" ht="15" hidden="false" customHeight="true" outlineLevel="0" collapsed="false">
      <c r="A18" s="3" t="s">
        <v>28</v>
      </c>
      <c r="B18" s="5" t="s">
        <v>29</v>
      </c>
    </row>
    <row r="19" customFormat="false" ht="15" hidden="false" customHeight="true" outlineLevel="0" collapsed="false">
      <c r="A19" s="3" t="s">
        <v>30</v>
      </c>
      <c r="B19" s="5" t="s">
        <v>31</v>
      </c>
    </row>
    <row r="20" customFormat="false" ht="15" hidden="false" customHeight="true" outlineLevel="0" collapsed="false">
      <c r="A20" s="3" t="s">
        <v>32</v>
      </c>
      <c r="B20" s="5" t="s">
        <v>33</v>
      </c>
    </row>
    <row r="21" customFormat="false" ht="15" hidden="false" customHeight="true" outlineLevel="0" collapsed="false">
      <c r="A21" s="3"/>
      <c r="B21" s="5"/>
    </row>
    <row r="22" customFormat="false" ht="15" hidden="false" customHeight="true" outlineLevel="0" collapsed="false">
      <c r="A22" s="3" t="s">
        <v>34</v>
      </c>
      <c r="B22" s="5" t="s">
        <v>35</v>
      </c>
    </row>
    <row r="23" customFormat="false" ht="15" hidden="false" customHeight="true" outlineLevel="0" collapsed="false">
      <c r="A23" s="6"/>
      <c r="B23" s="7"/>
    </row>
    <row r="24" customFormat="false" ht="15" hidden="false" customHeight="true" outlineLevel="0" collapsed="false">
      <c r="A24" s="6"/>
      <c r="B24" s="7"/>
    </row>
    <row r="25" customFormat="false" ht="23.25" hidden="false" customHeight="true" outlineLevel="0" collapsed="false">
      <c r="A25" s="6"/>
      <c r="B25" s="7"/>
    </row>
    <row r="26" customFormat="false" ht="15" hidden="false" customHeight="true" outlineLevel="0" collapsed="false">
      <c r="A26" s="6"/>
      <c r="B26" s="7"/>
    </row>
    <row r="27" customFormat="false" ht="15" hidden="false" customHeight="true" outlineLevel="0" collapsed="false">
      <c r="A27" s="6"/>
      <c r="B27" s="7"/>
    </row>
    <row r="28" customFormat="false" ht="23.25" hidden="false" customHeight="true" outlineLevel="0" collapsed="false">
      <c r="A28" s="6"/>
      <c r="B28" s="7"/>
    </row>
    <row r="29" customFormat="false" ht="15" hidden="false" customHeight="true" outlineLevel="0" collapsed="false">
      <c r="A29" s="6"/>
      <c r="B29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8"/>
    <col collapsed="false" customWidth="true" hidden="false" outlineLevel="0" max="7" min="3" style="1" width="6"/>
    <col collapsed="false" customWidth="true" hidden="false" outlineLevel="0" max="8" min="8" style="1" width="7"/>
    <col collapsed="false" customWidth="true" hidden="false" outlineLevel="0" max="9" min="9" style="1" width="8"/>
  </cols>
  <sheetData>
    <row r="1" customFormat="false" ht="19.5" hidden="false" customHeight="true" outlineLevel="0" collapsed="false">
      <c r="A1" s="2" t="s">
        <v>36</v>
      </c>
    </row>
    <row r="2" customFormat="false" ht="15" hidden="false" customHeight="true" outlineLevel="0" collapsed="false">
      <c r="A2" s="8" t="s">
        <v>37</v>
      </c>
    </row>
    <row r="4" customFormat="false" ht="15" hidden="false" customHeight="true" outlineLevel="0" collapsed="false">
      <c r="A4" s="9" t="s">
        <v>38</v>
      </c>
      <c r="B4" s="9" t="s">
        <v>39</v>
      </c>
      <c r="C4" s="9" t="s">
        <v>10</v>
      </c>
      <c r="D4" s="9" t="s">
        <v>40</v>
      </c>
      <c r="E4" s="9" t="s">
        <v>41</v>
      </c>
      <c r="F4" s="9" t="s">
        <v>42</v>
      </c>
      <c r="G4" s="9" t="s">
        <v>43</v>
      </c>
      <c r="H4" s="9" t="s">
        <v>44</v>
      </c>
      <c r="I4" s="9" t="s">
        <v>45</v>
      </c>
    </row>
    <row r="5" customFormat="false" ht="15" hidden="false" customHeight="true" outlineLevel="0" collapsed="false">
      <c r="A5" s="10" t="s">
        <v>46</v>
      </c>
      <c r="B5" s="11" t="s">
        <v>47</v>
      </c>
      <c r="C5" s="10" t="n">
        <f aca="false">COUNTIF(Resultados!$D$5:$D$200,$B5)+COUNTIF(Resultados!$F$5:$F$200,$B5)</f>
        <v>1</v>
      </c>
      <c r="D5" s="10" t="n">
        <f aca="false">SUMPRODUCT((Resultados!$D$5:$D$200=$B5)*(Resultados!$E$5:$E$200&gt;Resultados!$G$5:$G$200))+SUMPRODUCT((Resultados!$F$5:$F$200=$B5)*(Resultados!$G$5:$G$200&gt;Resultados!$E$5:$E$200))</f>
        <v>1</v>
      </c>
      <c r="E5" s="10" t="n">
        <f aca="false">SUMPRODUCT((Resultados!$D$5:$D$200=$B5)*(Resultados!$E$5:$E$200&lt;Resultados!$G$5:$G$200))+SUMPRODUCT((Resultados!$F$5:$F$200=$B5)*(Resultados!$G$5:$G$200&lt;Resultados!$E$5:$E$200))</f>
        <v>0</v>
      </c>
      <c r="F5" s="10" t="n">
        <f aca="false">SUMIF(Resultados!$D$5:$D$200,$B5,Resultados!$E$5:$E$200)+SUMIF(Resultados!$F$5:$F$200,$B5,Resultados!$G$5:$G$200)</f>
        <v>18</v>
      </c>
      <c r="G5" s="10" t="n">
        <f aca="false">SUMIF(Resultados!$D$5:$D$200,$B5,Resultados!$G$5:$G$200)+SUMIF(Resultados!$F$5:$F$200,$B5,Resultados!$E$5:$E$200)</f>
        <v>11</v>
      </c>
      <c r="H5" s="12" t="n">
        <f aca="false">F5-G5</f>
        <v>7</v>
      </c>
      <c r="I5" s="13" t="n">
        <f aca="false">IF(C5=0,"",D5/C5)</f>
        <v>1</v>
      </c>
    </row>
    <row r="6" customFormat="false" ht="15" hidden="false" customHeight="true" outlineLevel="0" collapsed="false">
      <c r="A6" s="10" t="s">
        <v>48</v>
      </c>
      <c r="B6" s="11" t="s">
        <v>49</v>
      </c>
      <c r="C6" s="10" t="n">
        <f aca="false">COUNTIF(Resultados!$D$5:$D$200,$B6)+COUNTIF(Resultados!$F$5:$F$200,$B6)</f>
        <v>1</v>
      </c>
      <c r="D6" s="10" t="n">
        <f aca="false">SUMPRODUCT((Resultados!$D$5:$D$200=$B6)*(Resultados!$E$5:$E$200&gt;Resultados!$G$5:$G$200))+SUMPRODUCT((Resultados!$F$5:$F$200=$B6)*(Resultados!$G$5:$G$200&gt;Resultados!$E$5:$E$200))</f>
        <v>1</v>
      </c>
      <c r="E6" s="10" t="n">
        <f aca="false">SUMPRODUCT((Resultados!$D$5:$D$200=$B6)*(Resultados!$E$5:$E$200&lt;Resultados!$G$5:$G$200))+SUMPRODUCT((Resultados!$F$5:$F$200=$B6)*(Resultados!$G$5:$G$200&lt;Resultados!$E$5:$E$200))</f>
        <v>0</v>
      </c>
      <c r="F6" s="10" t="n">
        <f aca="false">SUMIF(Resultados!$D$5:$D$200,$B6,Resultados!$E$5:$E$200)+SUMIF(Resultados!$F$5:$F$200,$B6,Resultados!$G$5:$G$200)</f>
        <v>8</v>
      </c>
      <c r="G6" s="10" t="n">
        <f aca="false">SUMIF(Resultados!$D$5:$D$200,$B6,Resultados!$G$5:$G$200)+SUMIF(Resultados!$F$5:$F$200,$B6,Resultados!$E$5:$E$200)</f>
        <v>7</v>
      </c>
      <c r="H6" s="12" t="n">
        <f aca="false">F6-G6</f>
        <v>1</v>
      </c>
      <c r="I6" s="13" t="n">
        <f aca="false">IF(C6=0,"",D6/C6)</f>
        <v>1</v>
      </c>
    </row>
    <row r="7" customFormat="false" ht="15" hidden="false" customHeight="true" outlineLevel="0" collapsed="false">
      <c r="A7" s="10" t="s">
        <v>50</v>
      </c>
      <c r="B7" s="11" t="s">
        <v>51</v>
      </c>
      <c r="C7" s="10" t="n">
        <f aca="false">COUNTIF(Resultados!$D$5:$D$200,$B7)+COUNTIF(Resultados!$F$5:$F$200,$B7)</f>
        <v>1</v>
      </c>
      <c r="D7" s="10" t="n">
        <f aca="false">SUMPRODUCT((Resultados!$D$5:$D$200=$B7)*(Resultados!$E$5:$E$200&gt;Resultados!$G$5:$G$200))+SUMPRODUCT((Resultados!$F$5:$F$200=$B7)*(Resultados!$G$5:$G$200&gt;Resultados!$E$5:$E$200))</f>
        <v>0</v>
      </c>
      <c r="E7" s="10" t="n">
        <f aca="false">SUMPRODUCT((Resultados!$D$5:$D$200=$B7)*(Resultados!$E$5:$E$200&lt;Resultados!$G$5:$G$200))+SUMPRODUCT((Resultados!$F$5:$F$200=$B7)*(Resultados!$G$5:$G$200&lt;Resultados!$E$5:$E$200))</f>
        <v>1</v>
      </c>
      <c r="F7" s="10" t="n">
        <f aca="false">SUMIF(Resultados!$D$5:$D$200,$B7,Resultados!$E$5:$E$200)+SUMIF(Resultados!$F$5:$F$200,$B7,Resultados!$G$5:$G$200)</f>
        <v>7</v>
      </c>
      <c r="G7" s="10" t="n">
        <f aca="false">SUMIF(Resultados!$D$5:$D$200,$B7,Resultados!$G$5:$G$200)+SUMIF(Resultados!$F$5:$F$200,$B7,Resultados!$E$5:$E$200)</f>
        <v>8</v>
      </c>
      <c r="H7" s="12" t="n">
        <f aca="false">F7-G7</f>
        <v>-1</v>
      </c>
      <c r="I7" s="13" t="n">
        <f aca="false">IF(C7=0,"",D7/C7)</f>
        <v>0</v>
      </c>
    </row>
    <row r="8" customFormat="false" ht="15" hidden="false" customHeight="true" outlineLevel="0" collapsed="false">
      <c r="A8" s="10" t="s">
        <v>52</v>
      </c>
      <c r="B8" s="11" t="s">
        <v>53</v>
      </c>
      <c r="C8" s="10" t="n">
        <f aca="false">COUNTIF(Resultados!$D$5:$D$200,$B8)+COUNTIF(Resultados!$F$5:$F$200,$B8)</f>
        <v>1</v>
      </c>
      <c r="D8" s="10" t="n">
        <f aca="false">SUMPRODUCT((Resultados!$D$5:$D$200=$B8)*(Resultados!$E$5:$E$200&gt;Resultados!$G$5:$G$200))+SUMPRODUCT((Resultados!$F$5:$F$200=$B8)*(Resultados!$G$5:$G$200&gt;Resultados!$E$5:$E$200))</f>
        <v>0</v>
      </c>
      <c r="E8" s="10" t="n">
        <f aca="false">SUMPRODUCT((Resultados!$D$5:$D$200=$B8)*(Resultados!$E$5:$E$200&lt;Resultados!$G$5:$G$200))+SUMPRODUCT((Resultados!$F$5:$F$200=$B8)*(Resultados!$G$5:$G$200&lt;Resultados!$E$5:$E$200))</f>
        <v>1</v>
      </c>
      <c r="F8" s="10" t="n">
        <f aca="false">SUMIF(Resultados!$D$5:$D$200,$B8,Resultados!$E$5:$E$200)+SUMIF(Resultados!$F$5:$F$200,$B8,Resultados!$G$5:$G$200)</f>
        <v>11</v>
      </c>
      <c r="G8" s="10" t="n">
        <f aca="false">SUMIF(Resultados!$D$5:$D$200,$B8,Resultados!$G$5:$G$200)+SUMIF(Resultados!$F$5:$F$200,$B8,Resultados!$E$5:$E$200)</f>
        <v>18</v>
      </c>
      <c r="H8" s="12" t="n">
        <f aca="false">F8-G8</f>
        <v>-7</v>
      </c>
      <c r="I8" s="13" t="n">
        <f aca="false">IF(C8=0,"",D8/C8)</f>
        <v>0</v>
      </c>
    </row>
    <row r="9" customFormat="false" ht="15" hidden="false" customHeight="true" outlineLevel="0" collapsed="false"/>
    <row r="11" customFormat="false" ht="15" hidden="false" customHeight="true" outlineLevel="0" collapsed="false">
      <c r="A11" s="8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2"/>
    <col collapsed="false" customWidth="true" hidden="false" outlineLevel="0" max="3" min="3" style="1" width="9"/>
    <col collapsed="false" customWidth="true" hidden="false" outlineLevel="0" max="4" min="4" style="1" width="18"/>
    <col collapsed="false" customWidth="true" hidden="false" outlineLevel="0" max="5" min="5" style="1" width="6"/>
    <col collapsed="false" customWidth="true" hidden="false" outlineLevel="0" max="6" min="6" style="1" width="18"/>
    <col collapsed="false" customWidth="true" hidden="false" outlineLevel="0" max="7" min="7" style="1" width="6"/>
    <col collapsed="false" customWidth="true" hidden="false" outlineLevel="0" max="8" min="8" style="1" width="10"/>
  </cols>
  <sheetData>
    <row r="1" customFormat="false" ht="19.5" hidden="false" customHeight="true" outlineLevel="0" collapsed="false">
      <c r="A1" s="2" t="s">
        <v>55</v>
      </c>
    </row>
    <row r="2" customFormat="false" ht="15" hidden="false" customHeight="true" outlineLevel="0" collapsed="false">
      <c r="A2" s="8" t="s">
        <v>56</v>
      </c>
    </row>
    <row r="4" customFormat="false" ht="15" hidden="false" customHeight="true" outlineLevel="0" collapsed="false">
      <c r="A4" s="9" t="s">
        <v>57</v>
      </c>
      <c r="B4" s="9" t="s">
        <v>58</v>
      </c>
      <c r="C4" s="9" t="s">
        <v>59</v>
      </c>
      <c r="D4" s="9" t="s">
        <v>60</v>
      </c>
      <c r="E4" s="9" t="s">
        <v>61</v>
      </c>
      <c r="F4" s="9" t="s">
        <v>62</v>
      </c>
      <c r="G4" s="9" t="s">
        <v>61</v>
      </c>
      <c r="H4" s="9" t="s">
        <v>63</v>
      </c>
    </row>
    <row r="5" customFormat="false" ht="15" hidden="false" customHeight="true" outlineLevel="0" collapsed="false">
      <c r="A5" s="10" t="n">
        <v>1</v>
      </c>
      <c r="B5" s="10" t="s">
        <v>64</v>
      </c>
      <c r="C5" s="10" t="s">
        <v>65</v>
      </c>
      <c r="D5" s="14" t="s">
        <v>47</v>
      </c>
      <c r="E5" s="10" t="n">
        <v>18</v>
      </c>
      <c r="F5" s="14" t="s">
        <v>53</v>
      </c>
      <c r="G5" s="10" t="n">
        <v>11</v>
      </c>
      <c r="H5" s="10" t="n">
        <v>5</v>
      </c>
    </row>
    <row r="6" customFormat="false" ht="15" hidden="false" customHeight="true" outlineLevel="0" collapsed="false">
      <c r="A6" s="10" t="n">
        <v>1</v>
      </c>
      <c r="B6" s="10" t="s">
        <v>64</v>
      </c>
      <c r="C6" s="10" t="s">
        <v>66</v>
      </c>
      <c r="D6" s="14" t="s">
        <v>51</v>
      </c>
      <c r="E6" s="10" t="n">
        <v>7</v>
      </c>
      <c r="F6" s="14" t="s">
        <v>49</v>
      </c>
      <c r="G6" s="10" t="n">
        <v>8</v>
      </c>
      <c r="H6" s="10" t="n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9" min="3" style="1" width="6"/>
    <col collapsed="false" customWidth="true" hidden="false" outlineLevel="0" max="10" min="10" style="1" width="8"/>
    <col collapsed="false" customWidth="true" hidden="false" outlineLevel="0" max="13" min="11" style="1" width="6"/>
    <col collapsed="false" customWidth="true" hidden="false" outlineLevel="0" max="14" min="14" style="1" width="8"/>
  </cols>
  <sheetData>
    <row r="1" customFormat="false" ht="19.5" hidden="false" customHeight="true" outlineLevel="0" collapsed="false">
      <c r="A1" s="2" t="s">
        <v>67</v>
      </c>
    </row>
    <row r="2" customFormat="false" ht="15" hidden="false" customHeight="true" outlineLevel="0" collapsed="false">
      <c r="A2" s="8" t="s">
        <v>68</v>
      </c>
    </row>
    <row r="4" customFormat="false" ht="19.5" hidden="false" customHeight="true" outlineLevel="0" collapsed="false">
      <c r="A4" s="15" t="s">
        <v>69</v>
      </c>
      <c r="B4" s="15" t="s">
        <v>39</v>
      </c>
      <c r="C4" s="16" t="s">
        <v>10</v>
      </c>
      <c r="D4" s="16" t="s">
        <v>12</v>
      </c>
      <c r="E4" s="16" t="s">
        <v>14</v>
      </c>
      <c r="F4" s="16" t="s">
        <v>16</v>
      </c>
      <c r="G4" s="16" t="s">
        <v>18</v>
      </c>
      <c r="H4" s="16" t="s">
        <v>20</v>
      </c>
      <c r="I4" s="16" t="s">
        <v>22</v>
      </c>
      <c r="J4" s="16" t="s">
        <v>24</v>
      </c>
      <c r="K4" s="16" t="s">
        <v>26</v>
      </c>
      <c r="L4" s="16" t="s">
        <v>28</v>
      </c>
      <c r="M4" s="16" t="s">
        <v>30</v>
      </c>
      <c r="N4" s="16" t="s">
        <v>32</v>
      </c>
    </row>
    <row r="5" customFormat="false" ht="15" hidden="false" customHeight="true" outlineLevel="0" collapsed="false">
      <c r="A5" s="5" t="s">
        <v>70</v>
      </c>
      <c r="B5" s="5" t="s">
        <v>47</v>
      </c>
      <c r="C5" s="10" t="n">
        <v>1</v>
      </c>
      <c r="D5" s="10" t="n">
        <v>4</v>
      </c>
      <c r="E5" s="10" t="n">
        <v>3</v>
      </c>
      <c r="F5" s="10" t="n">
        <v>3</v>
      </c>
      <c r="G5" s="10" t="n">
        <v>0</v>
      </c>
      <c r="H5" s="10" t="n">
        <v>0</v>
      </c>
      <c r="I5" s="10" t="n">
        <v>5</v>
      </c>
      <c r="J5" s="13" t="n">
        <v>0.75</v>
      </c>
      <c r="K5" s="17"/>
      <c r="L5" s="10"/>
      <c r="M5" s="10"/>
      <c r="N5" s="18"/>
    </row>
    <row r="6" customFormat="false" ht="15" hidden="false" customHeight="true" outlineLevel="0" collapsed="false">
      <c r="A6" s="5" t="s">
        <v>71</v>
      </c>
      <c r="B6" s="5" t="s">
        <v>47</v>
      </c>
      <c r="C6" s="10" t="n">
        <v>1</v>
      </c>
      <c r="D6" s="10" t="n">
        <v>4</v>
      </c>
      <c r="E6" s="10" t="n">
        <v>3</v>
      </c>
      <c r="F6" s="10" t="n">
        <v>1</v>
      </c>
      <c r="G6" s="10" t="n">
        <v>0</v>
      </c>
      <c r="H6" s="10" t="n">
        <v>1</v>
      </c>
      <c r="I6" s="10" t="n">
        <v>3</v>
      </c>
      <c r="J6" s="13" t="n">
        <v>0.75</v>
      </c>
      <c r="K6" s="17"/>
      <c r="L6" s="10"/>
      <c r="M6" s="10"/>
      <c r="N6" s="18"/>
    </row>
    <row r="7" customFormat="false" ht="15" hidden="false" customHeight="true" outlineLevel="0" collapsed="false">
      <c r="A7" s="5" t="s">
        <v>72</v>
      </c>
      <c r="B7" s="5" t="s">
        <v>47</v>
      </c>
      <c r="C7" s="10" t="n">
        <v>1</v>
      </c>
      <c r="D7" s="10" t="n">
        <v>3</v>
      </c>
      <c r="E7" s="10" t="n">
        <v>2</v>
      </c>
      <c r="F7" s="10" t="n">
        <v>0</v>
      </c>
      <c r="G7" s="10" t="n">
        <v>0</v>
      </c>
      <c r="H7" s="10" t="n">
        <v>0</v>
      </c>
      <c r="I7" s="10" t="n">
        <v>3</v>
      </c>
      <c r="J7" s="13" t="n">
        <v>0.667</v>
      </c>
      <c r="K7" s="17"/>
      <c r="L7" s="10"/>
      <c r="M7" s="10"/>
      <c r="N7" s="18"/>
    </row>
    <row r="8" customFormat="false" ht="15" hidden="false" customHeight="true" outlineLevel="0" collapsed="false">
      <c r="A8" s="5" t="s">
        <v>73</v>
      </c>
      <c r="B8" s="5" t="s">
        <v>47</v>
      </c>
      <c r="C8" s="10" t="n">
        <v>1</v>
      </c>
      <c r="D8" s="10" t="n">
        <v>4</v>
      </c>
      <c r="E8" s="10" t="n">
        <v>2</v>
      </c>
      <c r="F8" s="10" t="n">
        <v>1</v>
      </c>
      <c r="G8" s="10" t="n">
        <v>0</v>
      </c>
      <c r="H8" s="10" t="n">
        <v>0</v>
      </c>
      <c r="I8" s="10" t="n">
        <v>2</v>
      </c>
      <c r="J8" s="13" t="n">
        <v>0.5</v>
      </c>
      <c r="K8" s="17"/>
      <c r="L8" s="10"/>
      <c r="M8" s="10"/>
      <c r="N8" s="18"/>
    </row>
    <row r="9" customFormat="false" ht="15" hidden="false" customHeight="true" outlineLevel="0" collapsed="false">
      <c r="A9" s="5" t="s">
        <v>74</v>
      </c>
      <c r="B9" s="5" t="s">
        <v>47</v>
      </c>
      <c r="C9" s="10" t="n">
        <v>1</v>
      </c>
      <c r="D9" s="10" t="n">
        <v>3</v>
      </c>
      <c r="E9" s="10" t="n">
        <v>3</v>
      </c>
      <c r="F9" s="10" t="n">
        <v>0</v>
      </c>
      <c r="G9" s="10" t="n">
        <v>1</v>
      </c>
      <c r="H9" s="10" t="n">
        <v>0</v>
      </c>
      <c r="I9" s="10" t="n">
        <v>1</v>
      </c>
      <c r="J9" s="13" t="n">
        <v>1</v>
      </c>
      <c r="K9" s="17"/>
      <c r="L9" s="10"/>
      <c r="M9" s="10"/>
      <c r="N9" s="18"/>
    </row>
    <row r="10" customFormat="false" ht="15" hidden="false" customHeight="true" outlineLevel="0" collapsed="false">
      <c r="A10" s="5" t="s">
        <v>75</v>
      </c>
      <c r="B10" s="5" t="s">
        <v>47</v>
      </c>
      <c r="C10" s="10" t="n">
        <v>1</v>
      </c>
      <c r="D10" s="10" t="n">
        <v>4</v>
      </c>
      <c r="E10" s="10" t="n">
        <v>1</v>
      </c>
      <c r="F10" s="10" t="n">
        <v>1</v>
      </c>
      <c r="G10" s="10" t="n">
        <v>0</v>
      </c>
      <c r="H10" s="10" t="n">
        <v>0</v>
      </c>
      <c r="I10" s="10" t="n">
        <v>1</v>
      </c>
      <c r="J10" s="13" t="n">
        <v>0.25</v>
      </c>
      <c r="K10" s="17"/>
      <c r="L10" s="10"/>
      <c r="M10" s="10"/>
      <c r="N10" s="18"/>
    </row>
    <row r="11" customFormat="false" ht="15" hidden="false" customHeight="true" outlineLevel="0" collapsed="false">
      <c r="A11" s="5" t="s">
        <v>76</v>
      </c>
      <c r="B11" s="5" t="s">
        <v>47</v>
      </c>
      <c r="C11" s="10" t="n">
        <v>1</v>
      </c>
      <c r="D11" s="10" t="n">
        <v>4</v>
      </c>
      <c r="E11" s="10" t="n">
        <v>1</v>
      </c>
      <c r="F11" s="10" t="n">
        <v>1</v>
      </c>
      <c r="G11" s="10" t="n">
        <v>0</v>
      </c>
      <c r="H11" s="10" t="n">
        <v>0</v>
      </c>
      <c r="I11" s="10" t="n">
        <v>1</v>
      </c>
      <c r="J11" s="13" t="n">
        <v>0.333</v>
      </c>
      <c r="K11" s="17"/>
      <c r="L11" s="10"/>
      <c r="M11" s="10"/>
      <c r="N11" s="18"/>
    </row>
    <row r="12" customFormat="false" ht="15" hidden="false" customHeight="true" outlineLevel="0" collapsed="false">
      <c r="A12" s="5" t="s">
        <v>77</v>
      </c>
      <c r="B12" s="5" t="s">
        <v>47</v>
      </c>
      <c r="C12" s="10" t="n">
        <v>1</v>
      </c>
      <c r="D12" s="10" t="n">
        <v>3</v>
      </c>
      <c r="E12" s="10" t="n">
        <v>1</v>
      </c>
      <c r="F12" s="10" t="n">
        <v>0</v>
      </c>
      <c r="G12" s="10" t="n">
        <v>0</v>
      </c>
      <c r="H12" s="10" t="n">
        <v>0</v>
      </c>
      <c r="I12" s="10" t="n">
        <v>1</v>
      </c>
      <c r="J12" s="13" t="n">
        <v>0.333</v>
      </c>
      <c r="K12" s="17"/>
      <c r="L12" s="10"/>
      <c r="M12" s="10"/>
      <c r="N12" s="18"/>
    </row>
    <row r="13" customFormat="false" ht="15" hidden="false" customHeight="true" outlineLevel="0" collapsed="false">
      <c r="A13" s="5" t="s">
        <v>78</v>
      </c>
      <c r="B13" s="5" t="s">
        <v>47</v>
      </c>
      <c r="C13" s="10" t="n">
        <v>1</v>
      </c>
      <c r="D13" s="10" t="n">
        <v>2</v>
      </c>
      <c r="E13" s="10" t="n">
        <v>2</v>
      </c>
      <c r="F13" s="10" t="n">
        <v>0</v>
      </c>
      <c r="G13" s="10" t="n">
        <v>0</v>
      </c>
      <c r="H13" s="10" t="n">
        <v>0</v>
      </c>
      <c r="I13" s="10" t="n">
        <v>0</v>
      </c>
      <c r="J13" s="13" t="n">
        <v>1</v>
      </c>
      <c r="K13" s="17"/>
      <c r="L13" s="10"/>
      <c r="M13" s="10"/>
      <c r="N13" s="18"/>
    </row>
    <row r="14" customFormat="false" ht="15" hidden="false" customHeight="true" outlineLevel="0" collapsed="false">
      <c r="A14" s="5" t="s">
        <v>79</v>
      </c>
      <c r="B14" s="5" t="s">
        <v>47</v>
      </c>
      <c r="C14" s="10" t="n">
        <v>1</v>
      </c>
      <c r="D14" s="10" t="n">
        <v>4</v>
      </c>
      <c r="E14" s="10" t="n">
        <v>1</v>
      </c>
      <c r="F14" s="10" t="n">
        <v>0</v>
      </c>
      <c r="G14" s="10" t="n">
        <v>0</v>
      </c>
      <c r="H14" s="10" t="n">
        <v>0</v>
      </c>
      <c r="I14" s="10" t="n">
        <v>0</v>
      </c>
      <c r="J14" s="13" t="n">
        <v>0.333</v>
      </c>
      <c r="K14" s="17"/>
      <c r="L14" s="10"/>
      <c r="M14" s="10"/>
      <c r="N14" s="18"/>
    </row>
    <row r="15" customFormat="false" ht="15" hidden="false" customHeight="true" outlineLevel="0" collapsed="false">
      <c r="A15" s="5" t="s">
        <v>80</v>
      </c>
      <c r="B15" s="5" t="s">
        <v>47</v>
      </c>
      <c r="C15" s="10" t="n">
        <v>1</v>
      </c>
      <c r="D15" s="10" t="n">
        <v>1</v>
      </c>
      <c r="E15" s="10" t="n">
        <v>1</v>
      </c>
      <c r="F15" s="10" t="n">
        <v>0</v>
      </c>
      <c r="G15" s="10" t="n">
        <v>0</v>
      </c>
      <c r="H15" s="10" t="n">
        <v>0</v>
      </c>
      <c r="I15" s="10" t="n">
        <v>0</v>
      </c>
      <c r="J15" s="13" t="n">
        <v>1</v>
      </c>
      <c r="K15" s="17"/>
      <c r="L15" s="10"/>
      <c r="M15" s="10"/>
      <c r="N15" s="18"/>
    </row>
    <row r="16" customFormat="false" ht="15" hidden="false" customHeight="true" outlineLevel="0" collapsed="false">
      <c r="A16" s="5" t="s">
        <v>81</v>
      </c>
      <c r="B16" s="5" t="s">
        <v>47</v>
      </c>
      <c r="C16" s="10" t="n">
        <v>1</v>
      </c>
      <c r="D16" s="10" t="n">
        <v>2</v>
      </c>
      <c r="E16" s="10" t="n">
        <v>0</v>
      </c>
      <c r="F16" s="10" t="n">
        <v>0</v>
      </c>
      <c r="G16" s="10" t="n">
        <v>0</v>
      </c>
      <c r="H16" s="10" t="n">
        <v>0</v>
      </c>
      <c r="I16" s="10" t="n">
        <v>0</v>
      </c>
      <c r="J16" s="13" t="n">
        <v>0</v>
      </c>
      <c r="K16" s="17"/>
      <c r="L16" s="10"/>
      <c r="M16" s="10"/>
      <c r="N16" s="18"/>
    </row>
    <row r="17" customFormat="false" ht="15" hidden="false" customHeight="true" outlineLevel="0" collapsed="false">
      <c r="A17" s="5" t="s">
        <v>82</v>
      </c>
      <c r="B17" s="5" t="s">
        <v>47</v>
      </c>
      <c r="C17" s="10" t="n">
        <v>1</v>
      </c>
      <c r="D17" s="10" t="n">
        <v>1</v>
      </c>
      <c r="E17" s="10" t="n">
        <v>0</v>
      </c>
      <c r="F17" s="10" t="n">
        <v>0</v>
      </c>
      <c r="G17" s="10" t="n">
        <v>0</v>
      </c>
      <c r="H17" s="10" t="n">
        <v>0</v>
      </c>
      <c r="I17" s="10" t="n">
        <v>0</v>
      </c>
      <c r="J17" s="13" t="n">
        <v>0</v>
      </c>
      <c r="K17" s="17"/>
      <c r="L17" s="10"/>
      <c r="M17" s="10"/>
      <c r="N17" s="18"/>
    </row>
    <row r="18" customFormat="false" ht="15" hidden="false" customHeight="true" outlineLevel="0" collapsed="false">
      <c r="A18" s="5" t="s">
        <v>83</v>
      </c>
      <c r="B18" s="5" t="s">
        <v>47</v>
      </c>
      <c r="C18" s="10" t="n">
        <v>1</v>
      </c>
      <c r="D18" s="10" t="n">
        <v>0</v>
      </c>
      <c r="E18" s="10" t="n">
        <v>0</v>
      </c>
      <c r="F18" s="10" t="n">
        <v>0</v>
      </c>
      <c r="G18" s="10" t="n">
        <v>0</v>
      </c>
      <c r="H18" s="10" t="n">
        <v>0</v>
      </c>
      <c r="I18" s="10" t="n">
        <v>0</v>
      </c>
      <c r="J18" s="13"/>
      <c r="K18" s="17" t="n">
        <v>4</v>
      </c>
      <c r="L18" s="10" t="n">
        <v>1</v>
      </c>
      <c r="M18" s="10" t="n">
        <v>1</v>
      </c>
      <c r="N18" s="18" t="n">
        <v>8.75</v>
      </c>
    </row>
    <row r="19" customFormat="false" ht="15" hidden="false" customHeight="true" outlineLevel="0" collapsed="false">
      <c r="A19" s="5" t="s">
        <v>84</v>
      </c>
      <c r="B19" s="5" t="s">
        <v>47</v>
      </c>
      <c r="C19" s="10" t="n">
        <v>1</v>
      </c>
      <c r="D19" s="10" t="n">
        <v>0</v>
      </c>
      <c r="E19" s="10" t="n">
        <v>0</v>
      </c>
      <c r="F19" s="10" t="n">
        <v>0</v>
      </c>
      <c r="G19" s="10" t="n">
        <v>0</v>
      </c>
      <c r="H19" s="10" t="n">
        <v>0</v>
      </c>
      <c r="I19" s="10" t="n">
        <v>0</v>
      </c>
      <c r="J19" s="13"/>
      <c r="K19" s="17" t="n">
        <v>1</v>
      </c>
      <c r="L19" s="10" t="n">
        <v>0</v>
      </c>
      <c r="M19" s="10" t="n">
        <v>1</v>
      </c>
      <c r="N19" s="18" t="n">
        <v>35</v>
      </c>
    </row>
    <row r="20" customFormat="false" ht="15" hidden="false" customHeight="true" outlineLevel="0" collapsed="false">
      <c r="A20" s="5" t="s">
        <v>85</v>
      </c>
      <c r="B20" s="5" t="s">
        <v>49</v>
      </c>
      <c r="C20" s="10" t="n">
        <v>1</v>
      </c>
      <c r="D20" s="10" t="n">
        <v>3</v>
      </c>
      <c r="E20" s="10" t="n">
        <v>2</v>
      </c>
      <c r="F20" s="10" t="n">
        <v>1</v>
      </c>
      <c r="G20" s="10" t="n">
        <v>0</v>
      </c>
      <c r="H20" s="10" t="n">
        <v>0</v>
      </c>
      <c r="I20" s="10" t="n">
        <v>2</v>
      </c>
      <c r="J20" s="13" t="n">
        <v>0.667</v>
      </c>
      <c r="K20" s="17"/>
      <c r="L20" s="10"/>
      <c r="M20" s="10"/>
      <c r="N20" s="18"/>
    </row>
    <row r="21" customFormat="false" ht="15" hidden="false" customHeight="true" outlineLevel="0" collapsed="false">
      <c r="A21" s="5" t="s">
        <v>86</v>
      </c>
      <c r="B21" s="5" t="s">
        <v>49</v>
      </c>
      <c r="C21" s="10" t="n">
        <v>1</v>
      </c>
      <c r="D21" s="10" t="n">
        <v>3</v>
      </c>
      <c r="E21" s="10" t="n">
        <v>2</v>
      </c>
      <c r="F21" s="10" t="n">
        <v>2</v>
      </c>
      <c r="G21" s="10" t="n">
        <v>0</v>
      </c>
      <c r="H21" s="10" t="n">
        <v>0</v>
      </c>
      <c r="I21" s="10" t="n">
        <v>1</v>
      </c>
      <c r="J21" s="13" t="n">
        <v>1</v>
      </c>
      <c r="K21" s="17"/>
      <c r="L21" s="10"/>
      <c r="M21" s="10"/>
      <c r="N21" s="18"/>
    </row>
    <row r="22" customFormat="false" ht="15" hidden="false" customHeight="true" outlineLevel="0" collapsed="false">
      <c r="A22" s="5" t="s">
        <v>87</v>
      </c>
      <c r="B22" s="5" t="s">
        <v>49</v>
      </c>
      <c r="C22" s="10" t="n">
        <v>1</v>
      </c>
      <c r="D22" s="10" t="n">
        <v>3</v>
      </c>
      <c r="E22" s="10" t="n">
        <v>1</v>
      </c>
      <c r="F22" s="10" t="n">
        <v>0</v>
      </c>
      <c r="G22" s="10" t="n">
        <v>0</v>
      </c>
      <c r="H22" s="10" t="n">
        <v>0</v>
      </c>
      <c r="I22" s="10" t="n">
        <v>1</v>
      </c>
      <c r="J22" s="13" t="n">
        <v>0.333</v>
      </c>
      <c r="K22" s="17"/>
      <c r="L22" s="10"/>
      <c r="M22" s="10"/>
      <c r="N22" s="18"/>
    </row>
    <row r="23" customFormat="false" ht="15" hidden="false" customHeight="true" outlineLevel="0" collapsed="false">
      <c r="A23" s="5" t="s">
        <v>88</v>
      </c>
      <c r="B23" s="5" t="s">
        <v>49</v>
      </c>
      <c r="C23" s="10" t="n">
        <v>1</v>
      </c>
      <c r="D23" s="10" t="n">
        <v>3</v>
      </c>
      <c r="E23" s="10" t="n">
        <v>1</v>
      </c>
      <c r="F23" s="10" t="n">
        <v>0</v>
      </c>
      <c r="G23" s="10" t="n">
        <v>0</v>
      </c>
      <c r="H23" s="10" t="n">
        <v>0</v>
      </c>
      <c r="I23" s="10" t="n">
        <v>1</v>
      </c>
      <c r="J23" s="13" t="n">
        <v>1</v>
      </c>
      <c r="K23" s="17"/>
      <c r="L23" s="10"/>
      <c r="M23" s="10"/>
      <c r="N23" s="18"/>
    </row>
    <row r="24" customFormat="false" ht="15" hidden="false" customHeight="true" outlineLevel="0" collapsed="false">
      <c r="A24" s="5" t="s">
        <v>89</v>
      </c>
      <c r="B24" s="5" t="s">
        <v>49</v>
      </c>
      <c r="C24" s="10" t="n">
        <v>1</v>
      </c>
      <c r="D24" s="10" t="n">
        <v>2</v>
      </c>
      <c r="E24" s="10" t="n">
        <v>1</v>
      </c>
      <c r="F24" s="10" t="n">
        <v>1</v>
      </c>
      <c r="G24" s="10" t="n">
        <v>0</v>
      </c>
      <c r="H24" s="10" t="n">
        <v>0</v>
      </c>
      <c r="I24" s="10" t="n">
        <v>1</v>
      </c>
      <c r="J24" s="13" t="n">
        <v>0.5</v>
      </c>
      <c r="K24" s="17"/>
      <c r="L24" s="10"/>
      <c r="M24" s="10"/>
      <c r="N24" s="18"/>
    </row>
    <row r="25" customFormat="false" ht="15" hidden="false" customHeight="true" outlineLevel="0" collapsed="false">
      <c r="A25" s="5" t="s">
        <v>90</v>
      </c>
      <c r="B25" s="5" t="s">
        <v>49</v>
      </c>
      <c r="C25" s="10" t="n">
        <v>1</v>
      </c>
      <c r="D25" s="10" t="n">
        <v>3</v>
      </c>
      <c r="E25" s="10" t="n">
        <v>0</v>
      </c>
      <c r="F25" s="10" t="n">
        <v>0</v>
      </c>
      <c r="G25" s="10" t="n">
        <v>0</v>
      </c>
      <c r="H25" s="10" t="n">
        <v>0</v>
      </c>
      <c r="I25" s="10" t="n">
        <v>1</v>
      </c>
      <c r="J25" s="13" t="n">
        <v>0</v>
      </c>
      <c r="K25" s="17"/>
      <c r="L25" s="10"/>
      <c r="M25" s="10"/>
      <c r="N25" s="18"/>
    </row>
    <row r="26" customFormat="false" ht="15" hidden="false" customHeight="true" outlineLevel="0" collapsed="false">
      <c r="A26" s="5" t="s">
        <v>91</v>
      </c>
      <c r="B26" s="5" t="s">
        <v>49</v>
      </c>
      <c r="C26" s="10" t="n">
        <v>1</v>
      </c>
      <c r="D26" s="10" t="n">
        <v>2</v>
      </c>
      <c r="E26" s="10" t="n">
        <v>0</v>
      </c>
      <c r="F26" s="10" t="n">
        <v>0</v>
      </c>
      <c r="G26" s="10" t="n">
        <v>0</v>
      </c>
      <c r="H26" s="10" t="n">
        <v>0</v>
      </c>
      <c r="I26" s="10" t="n">
        <v>1</v>
      </c>
      <c r="J26" s="13" t="n">
        <v>0</v>
      </c>
      <c r="K26" s="17"/>
      <c r="L26" s="10"/>
      <c r="M26" s="10"/>
      <c r="N26" s="18"/>
    </row>
    <row r="27" customFormat="false" ht="15" hidden="false" customHeight="true" outlineLevel="0" collapsed="false">
      <c r="A27" s="5" t="s">
        <v>92</v>
      </c>
      <c r="B27" s="5" t="s">
        <v>49</v>
      </c>
      <c r="C27" s="10" t="n">
        <v>1</v>
      </c>
      <c r="D27" s="10" t="n">
        <v>3</v>
      </c>
      <c r="E27" s="10" t="n">
        <v>2</v>
      </c>
      <c r="F27" s="10" t="n">
        <v>0</v>
      </c>
      <c r="G27" s="10" t="n">
        <v>0</v>
      </c>
      <c r="H27" s="10" t="n">
        <v>0</v>
      </c>
      <c r="I27" s="10" t="n">
        <v>0</v>
      </c>
      <c r="J27" s="13" t="n">
        <v>0.667</v>
      </c>
      <c r="K27" s="17"/>
      <c r="L27" s="10"/>
      <c r="M27" s="10"/>
      <c r="N27" s="18"/>
    </row>
    <row r="28" customFormat="false" ht="15" hidden="false" customHeight="true" outlineLevel="0" collapsed="false">
      <c r="A28" s="5" t="s">
        <v>93</v>
      </c>
      <c r="B28" s="5" t="s">
        <v>49</v>
      </c>
      <c r="C28" s="10" t="n">
        <v>1</v>
      </c>
      <c r="D28" s="10" t="n">
        <v>2</v>
      </c>
      <c r="E28" s="10" t="n">
        <v>1</v>
      </c>
      <c r="F28" s="10" t="n">
        <v>0</v>
      </c>
      <c r="G28" s="10" t="n">
        <v>0</v>
      </c>
      <c r="H28" s="10" t="n">
        <v>0</v>
      </c>
      <c r="I28" s="10" t="n">
        <v>0</v>
      </c>
      <c r="J28" s="13" t="n">
        <v>1</v>
      </c>
      <c r="K28" s="17"/>
      <c r="L28" s="10"/>
      <c r="M28" s="10"/>
      <c r="N28" s="18"/>
    </row>
    <row r="29" customFormat="false" ht="15" hidden="false" customHeight="true" outlineLevel="0" collapsed="false">
      <c r="A29" s="5" t="s">
        <v>94</v>
      </c>
      <c r="B29" s="5" t="s">
        <v>49</v>
      </c>
      <c r="C29" s="10" t="n">
        <v>1</v>
      </c>
      <c r="D29" s="10" t="n">
        <v>3</v>
      </c>
      <c r="E29" s="10" t="n">
        <v>0</v>
      </c>
      <c r="F29" s="10" t="n">
        <v>0</v>
      </c>
      <c r="G29" s="10" t="n">
        <v>0</v>
      </c>
      <c r="H29" s="10" t="n">
        <v>0</v>
      </c>
      <c r="I29" s="10" t="n">
        <v>0</v>
      </c>
      <c r="J29" s="13"/>
      <c r="K29" s="17"/>
      <c r="L29" s="10"/>
      <c r="M29" s="10"/>
      <c r="N29" s="18"/>
    </row>
    <row r="30" customFormat="false" ht="15" hidden="false" customHeight="true" outlineLevel="0" collapsed="false">
      <c r="A30" s="5" t="s">
        <v>95</v>
      </c>
      <c r="B30" s="5" t="s">
        <v>49</v>
      </c>
      <c r="C30" s="10" t="n">
        <v>1</v>
      </c>
      <c r="D30" s="10" t="n">
        <v>2</v>
      </c>
      <c r="E30" s="10" t="n">
        <v>0</v>
      </c>
      <c r="F30" s="10" t="n">
        <v>0</v>
      </c>
      <c r="G30" s="10" t="n">
        <v>0</v>
      </c>
      <c r="H30" s="10" t="n">
        <v>0</v>
      </c>
      <c r="I30" s="10" t="n">
        <v>0</v>
      </c>
      <c r="J30" s="13" t="n">
        <v>0</v>
      </c>
      <c r="K30" s="17"/>
      <c r="L30" s="10"/>
      <c r="M30" s="10"/>
      <c r="N30" s="18"/>
    </row>
    <row r="31" customFormat="false" ht="15" hidden="false" customHeight="true" outlineLevel="0" collapsed="false">
      <c r="A31" s="5" t="s">
        <v>96</v>
      </c>
      <c r="B31" s="5" t="s">
        <v>49</v>
      </c>
      <c r="C31" s="10" t="n">
        <v>1</v>
      </c>
      <c r="D31" s="10" t="n">
        <v>1</v>
      </c>
      <c r="E31" s="10" t="n">
        <v>0</v>
      </c>
      <c r="F31" s="10" t="n">
        <v>0</v>
      </c>
      <c r="G31" s="10" t="n">
        <v>0</v>
      </c>
      <c r="H31" s="10" t="n">
        <v>0</v>
      </c>
      <c r="I31" s="10" t="n">
        <v>0</v>
      </c>
      <c r="J31" s="13" t="n">
        <v>0</v>
      </c>
      <c r="K31" s="17"/>
      <c r="L31" s="10"/>
      <c r="M31" s="10"/>
      <c r="N31" s="18"/>
    </row>
    <row r="32" customFormat="false" ht="15" hidden="false" customHeight="true" outlineLevel="0" collapsed="false">
      <c r="A32" s="5" t="s">
        <v>97</v>
      </c>
      <c r="B32" s="5" t="s">
        <v>49</v>
      </c>
      <c r="C32" s="10" t="n">
        <v>1</v>
      </c>
      <c r="D32" s="10" t="n">
        <v>1</v>
      </c>
      <c r="E32" s="10" t="n">
        <v>0</v>
      </c>
      <c r="F32" s="10" t="n">
        <v>0</v>
      </c>
      <c r="G32" s="10" t="n">
        <v>0</v>
      </c>
      <c r="H32" s="10" t="n">
        <v>0</v>
      </c>
      <c r="I32" s="10" t="n">
        <v>0</v>
      </c>
      <c r="J32" s="13" t="n">
        <v>0</v>
      </c>
      <c r="K32" s="17"/>
      <c r="L32" s="10"/>
      <c r="M32" s="10"/>
      <c r="N32" s="18"/>
    </row>
    <row r="33" customFormat="false" ht="15" hidden="false" customHeight="true" outlineLevel="0" collapsed="false">
      <c r="A33" s="5" t="s">
        <v>98</v>
      </c>
      <c r="B33" s="5" t="s">
        <v>49</v>
      </c>
      <c r="C33" s="10" t="n">
        <v>1</v>
      </c>
      <c r="D33" s="10" t="n">
        <v>1</v>
      </c>
      <c r="E33" s="10" t="n">
        <v>0</v>
      </c>
      <c r="F33" s="10" t="n">
        <v>0</v>
      </c>
      <c r="G33" s="10" t="n">
        <v>0</v>
      </c>
      <c r="H33" s="10" t="n">
        <v>0</v>
      </c>
      <c r="I33" s="10" t="n">
        <v>0</v>
      </c>
      <c r="J33" s="13" t="n">
        <v>0</v>
      </c>
      <c r="K33" s="17"/>
      <c r="L33" s="10"/>
      <c r="M33" s="10"/>
      <c r="N33" s="18"/>
    </row>
    <row r="34" customFormat="false" ht="15" hidden="false" customHeight="true" outlineLevel="0" collapsed="false">
      <c r="A34" s="5" t="s">
        <v>99</v>
      </c>
      <c r="B34" s="5" t="s">
        <v>49</v>
      </c>
      <c r="C34" s="10" t="n">
        <v>1</v>
      </c>
      <c r="D34" s="10" t="n">
        <v>1</v>
      </c>
      <c r="E34" s="10" t="n">
        <v>0</v>
      </c>
      <c r="F34" s="10" t="n">
        <v>0</v>
      </c>
      <c r="G34" s="10" t="n">
        <v>0</v>
      </c>
      <c r="H34" s="10" t="n">
        <v>0</v>
      </c>
      <c r="I34" s="10" t="n">
        <v>0</v>
      </c>
      <c r="J34" s="13"/>
      <c r="K34" s="17"/>
      <c r="L34" s="10"/>
      <c r="M34" s="10"/>
      <c r="N34" s="18"/>
    </row>
    <row r="35" customFormat="false" ht="15" hidden="false" customHeight="true" outlineLevel="0" collapsed="false">
      <c r="A35" s="5" t="s">
        <v>100</v>
      </c>
      <c r="B35" s="5" t="s">
        <v>49</v>
      </c>
      <c r="C35" s="10" t="n">
        <v>1</v>
      </c>
      <c r="D35" s="10" t="n">
        <v>0</v>
      </c>
      <c r="E35" s="10" t="n">
        <v>0</v>
      </c>
      <c r="F35" s="10" t="n">
        <v>0</v>
      </c>
      <c r="G35" s="10" t="n">
        <v>0</v>
      </c>
      <c r="H35" s="10" t="n">
        <v>0</v>
      </c>
      <c r="I35" s="10" t="n">
        <v>0</v>
      </c>
      <c r="J35" s="13"/>
      <c r="K35" s="17" t="n">
        <v>6</v>
      </c>
      <c r="L35" s="10" t="n">
        <v>1</v>
      </c>
      <c r="M35" s="10" t="n">
        <v>1</v>
      </c>
      <c r="N35" s="18" t="n">
        <v>8.17</v>
      </c>
    </row>
    <row r="36" customFormat="false" ht="15" hidden="false" customHeight="true" outlineLevel="0" collapsed="false">
      <c r="A36" s="5" t="s">
        <v>101</v>
      </c>
      <c r="B36" s="5" t="s">
        <v>51</v>
      </c>
      <c r="C36" s="10" t="n">
        <v>1</v>
      </c>
      <c r="D36" s="10" t="n">
        <v>3</v>
      </c>
      <c r="E36" s="10" t="n">
        <v>2</v>
      </c>
      <c r="F36" s="10" t="n">
        <v>0</v>
      </c>
      <c r="G36" s="10" t="n">
        <v>0</v>
      </c>
      <c r="H36" s="10" t="n">
        <v>0</v>
      </c>
      <c r="I36" s="10" t="n">
        <v>2</v>
      </c>
      <c r="J36" s="13" t="n">
        <v>0.667</v>
      </c>
      <c r="K36" s="17"/>
      <c r="L36" s="10"/>
      <c r="M36" s="10"/>
      <c r="N36" s="18"/>
    </row>
    <row r="37" customFormat="false" ht="15" hidden="false" customHeight="true" outlineLevel="0" collapsed="false">
      <c r="A37" s="5" t="s">
        <v>102</v>
      </c>
      <c r="B37" s="5" t="s">
        <v>51</v>
      </c>
      <c r="C37" s="10" t="n">
        <v>1</v>
      </c>
      <c r="D37" s="10" t="n">
        <v>3</v>
      </c>
      <c r="E37" s="10" t="n">
        <v>2</v>
      </c>
      <c r="F37" s="10" t="n">
        <v>1</v>
      </c>
      <c r="G37" s="10" t="n">
        <v>1</v>
      </c>
      <c r="H37" s="10" t="n">
        <v>0</v>
      </c>
      <c r="I37" s="10" t="n">
        <v>2</v>
      </c>
      <c r="J37" s="13" t="n">
        <v>1</v>
      </c>
      <c r="K37" s="17"/>
      <c r="L37" s="10"/>
      <c r="M37" s="10"/>
      <c r="N37" s="18"/>
    </row>
    <row r="38" customFormat="false" ht="15" hidden="false" customHeight="true" outlineLevel="0" collapsed="false">
      <c r="A38" s="5" t="s">
        <v>103</v>
      </c>
      <c r="B38" s="5" t="s">
        <v>51</v>
      </c>
      <c r="C38" s="10" t="n">
        <v>1</v>
      </c>
      <c r="D38" s="10" t="n">
        <v>3</v>
      </c>
      <c r="E38" s="10" t="n">
        <v>1</v>
      </c>
      <c r="F38" s="10" t="n">
        <v>0</v>
      </c>
      <c r="G38" s="10" t="n">
        <v>1</v>
      </c>
      <c r="H38" s="10" t="n">
        <v>0</v>
      </c>
      <c r="I38" s="10" t="n">
        <v>2</v>
      </c>
      <c r="J38" s="13" t="n">
        <v>0.333</v>
      </c>
      <c r="K38" s="17"/>
      <c r="L38" s="10"/>
      <c r="M38" s="10"/>
      <c r="N38" s="18"/>
    </row>
    <row r="39" customFormat="false" ht="15" hidden="false" customHeight="true" outlineLevel="0" collapsed="false">
      <c r="A39" s="5" t="s">
        <v>104</v>
      </c>
      <c r="B39" s="5" t="s">
        <v>51</v>
      </c>
      <c r="C39" s="10" t="n">
        <v>1</v>
      </c>
      <c r="D39" s="10" t="n">
        <v>2</v>
      </c>
      <c r="E39" s="10" t="n">
        <v>1</v>
      </c>
      <c r="F39" s="10" t="n">
        <v>0</v>
      </c>
      <c r="G39" s="10" t="n">
        <v>0</v>
      </c>
      <c r="H39" s="10" t="n">
        <v>0</v>
      </c>
      <c r="I39" s="10" t="n">
        <v>1</v>
      </c>
      <c r="J39" s="13" t="n">
        <v>0.5</v>
      </c>
      <c r="K39" s="17"/>
      <c r="L39" s="10"/>
      <c r="M39" s="10"/>
      <c r="N39" s="18"/>
    </row>
    <row r="40" customFormat="false" ht="15" hidden="false" customHeight="true" outlineLevel="0" collapsed="false">
      <c r="A40" s="5" t="s">
        <v>105</v>
      </c>
      <c r="B40" s="5" t="s">
        <v>51</v>
      </c>
      <c r="C40" s="10" t="n">
        <v>1</v>
      </c>
      <c r="D40" s="10" t="n">
        <v>3</v>
      </c>
      <c r="E40" s="10" t="n">
        <v>2</v>
      </c>
      <c r="F40" s="10" t="n">
        <v>0</v>
      </c>
      <c r="G40" s="10" t="n">
        <v>1</v>
      </c>
      <c r="H40" s="10" t="n">
        <v>0</v>
      </c>
      <c r="I40" s="10" t="n">
        <v>0</v>
      </c>
      <c r="J40" s="13" t="n">
        <v>0.667</v>
      </c>
      <c r="K40" s="17"/>
      <c r="L40" s="10"/>
      <c r="M40" s="10"/>
      <c r="N40" s="18"/>
    </row>
    <row r="41" customFormat="false" ht="15" hidden="false" customHeight="true" outlineLevel="0" collapsed="false">
      <c r="A41" s="5" t="s">
        <v>106</v>
      </c>
      <c r="B41" s="5" t="s">
        <v>51</v>
      </c>
      <c r="C41" s="10" t="n">
        <v>1</v>
      </c>
      <c r="D41" s="10" t="n">
        <v>2</v>
      </c>
      <c r="E41" s="10" t="n">
        <v>1</v>
      </c>
      <c r="F41" s="10" t="n">
        <v>0</v>
      </c>
      <c r="G41" s="10" t="n">
        <v>0</v>
      </c>
      <c r="H41" s="10" t="n">
        <v>0</v>
      </c>
      <c r="I41" s="10" t="n">
        <v>0</v>
      </c>
      <c r="J41" s="13" t="n">
        <v>0.5</v>
      </c>
      <c r="K41" s="17"/>
      <c r="L41" s="10"/>
      <c r="M41" s="10"/>
      <c r="N41" s="18"/>
    </row>
    <row r="42" customFormat="false" ht="15" hidden="false" customHeight="true" outlineLevel="0" collapsed="false">
      <c r="A42" s="5" t="s">
        <v>107</v>
      </c>
      <c r="B42" s="5" t="s">
        <v>51</v>
      </c>
      <c r="C42" s="10" t="n">
        <v>1</v>
      </c>
      <c r="D42" s="10" t="n">
        <v>1</v>
      </c>
      <c r="E42" s="10" t="n">
        <v>1</v>
      </c>
      <c r="F42" s="10" t="n">
        <v>0</v>
      </c>
      <c r="G42" s="10" t="n">
        <v>0</v>
      </c>
      <c r="H42" s="10" t="n">
        <v>0</v>
      </c>
      <c r="I42" s="10" t="n">
        <v>0</v>
      </c>
      <c r="J42" s="13" t="n">
        <v>1</v>
      </c>
      <c r="K42" s="17"/>
      <c r="L42" s="10"/>
      <c r="M42" s="10"/>
      <c r="N42" s="18"/>
    </row>
    <row r="43" customFormat="false" ht="15" hidden="false" customHeight="true" outlineLevel="0" collapsed="false">
      <c r="A43" s="5" t="s">
        <v>108</v>
      </c>
      <c r="B43" s="5" t="s">
        <v>51</v>
      </c>
      <c r="C43" s="10" t="n">
        <v>1</v>
      </c>
      <c r="D43" s="10" t="n">
        <v>3</v>
      </c>
      <c r="E43" s="10" t="n">
        <v>0</v>
      </c>
      <c r="F43" s="10" t="n">
        <v>0</v>
      </c>
      <c r="G43" s="10" t="n">
        <v>0</v>
      </c>
      <c r="H43" s="10" t="n">
        <v>0</v>
      </c>
      <c r="I43" s="10" t="n">
        <v>0</v>
      </c>
      <c r="J43" s="13" t="n">
        <v>0</v>
      </c>
      <c r="K43" s="17"/>
      <c r="L43" s="10"/>
      <c r="M43" s="10"/>
      <c r="N43" s="18"/>
    </row>
    <row r="44" customFormat="false" ht="15" hidden="false" customHeight="true" outlineLevel="0" collapsed="false">
      <c r="A44" s="5" t="s">
        <v>109</v>
      </c>
      <c r="B44" s="5" t="s">
        <v>51</v>
      </c>
      <c r="C44" s="10" t="n">
        <v>1</v>
      </c>
      <c r="D44" s="10" t="n">
        <v>3</v>
      </c>
      <c r="E44" s="10" t="n">
        <v>0</v>
      </c>
      <c r="F44" s="10" t="n">
        <v>0</v>
      </c>
      <c r="G44" s="10" t="n">
        <v>0</v>
      </c>
      <c r="H44" s="10" t="n">
        <v>0</v>
      </c>
      <c r="I44" s="10" t="n">
        <v>0</v>
      </c>
      <c r="J44" s="13" t="n">
        <v>0</v>
      </c>
      <c r="K44" s="17"/>
      <c r="L44" s="10"/>
      <c r="M44" s="10"/>
      <c r="N44" s="18"/>
    </row>
    <row r="45" customFormat="false" ht="15" hidden="false" customHeight="true" outlineLevel="0" collapsed="false">
      <c r="A45" s="5" t="s">
        <v>110</v>
      </c>
      <c r="B45" s="5" t="s">
        <v>51</v>
      </c>
      <c r="C45" s="10" t="n">
        <v>1</v>
      </c>
      <c r="D45" s="10" t="n">
        <v>3</v>
      </c>
      <c r="E45" s="10" t="n">
        <v>0</v>
      </c>
      <c r="F45" s="10" t="n">
        <v>0</v>
      </c>
      <c r="G45" s="10" t="n">
        <v>0</v>
      </c>
      <c r="H45" s="10" t="n">
        <v>0</v>
      </c>
      <c r="I45" s="10" t="n">
        <v>0</v>
      </c>
      <c r="J45" s="13" t="n">
        <v>0</v>
      </c>
      <c r="K45" s="17"/>
      <c r="L45" s="10"/>
      <c r="M45" s="10"/>
      <c r="N45" s="18"/>
    </row>
    <row r="46" customFormat="false" ht="15" hidden="false" customHeight="true" outlineLevel="0" collapsed="false">
      <c r="A46" s="5" t="s">
        <v>111</v>
      </c>
      <c r="B46" s="5" t="s">
        <v>51</v>
      </c>
      <c r="C46" s="10" t="n">
        <v>1</v>
      </c>
      <c r="D46" s="10" t="n">
        <v>2</v>
      </c>
      <c r="E46" s="10" t="n">
        <v>0</v>
      </c>
      <c r="F46" s="10" t="n">
        <v>0</v>
      </c>
      <c r="G46" s="10" t="n">
        <v>0</v>
      </c>
      <c r="H46" s="10" t="n">
        <v>0</v>
      </c>
      <c r="I46" s="10" t="n">
        <v>0</v>
      </c>
      <c r="J46" s="13" t="n">
        <v>0</v>
      </c>
      <c r="K46" s="17"/>
      <c r="L46" s="10"/>
      <c r="M46" s="10"/>
      <c r="N46" s="18"/>
    </row>
    <row r="47" customFormat="false" ht="15" hidden="false" customHeight="true" outlineLevel="0" collapsed="false">
      <c r="A47" s="5" t="s">
        <v>112</v>
      </c>
      <c r="B47" s="5" t="s">
        <v>51</v>
      </c>
      <c r="C47" s="10" t="n">
        <v>1</v>
      </c>
      <c r="D47" s="10" t="n">
        <v>1</v>
      </c>
      <c r="E47" s="10" t="n">
        <v>0</v>
      </c>
      <c r="F47" s="10" t="n">
        <v>0</v>
      </c>
      <c r="G47" s="10" t="n">
        <v>0</v>
      </c>
      <c r="H47" s="10" t="n">
        <v>0</v>
      </c>
      <c r="I47" s="10" t="n">
        <v>0</v>
      </c>
      <c r="J47" s="13" t="n">
        <v>0</v>
      </c>
      <c r="K47" s="17"/>
      <c r="L47" s="10"/>
      <c r="M47" s="10"/>
      <c r="N47" s="18"/>
    </row>
    <row r="48" customFormat="false" ht="15" hidden="false" customHeight="true" outlineLevel="0" collapsed="false">
      <c r="A48" s="5" t="s">
        <v>113</v>
      </c>
      <c r="B48" s="5" t="s">
        <v>51</v>
      </c>
      <c r="C48" s="10" t="n">
        <v>1</v>
      </c>
      <c r="D48" s="10" t="n">
        <v>0</v>
      </c>
      <c r="E48" s="10" t="n">
        <v>0</v>
      </c>
      <c r="F48" s="10" t="n">
        <v>0</v>
      </c>
      <c r="G48" s="10" t="n">
        <v>0</v>
      </c>
      <c r="H48" s="10" t="n">
        <v>0</v>
      </c>
      <c r="I48" s="10" t="n">
        <v>0</v>
      </c>
      <c r="J48" s="13"/>
      <c r="K48" s="17" t="n">
        <v>5.1</v>
      </c>
      <c r="L48" s="10" t="n">
        <v>0</v>
      </c>
      <c r="M48" s="10" t="n">
        <v>0</v>
      </c>
      <c r="N48" s="18" t="n">
        <v>9.19</v>
      </c>
    </row>
    <row r="49" customFormat="false" ht="15" hidden="false" customHeight="true" outlineLevel="0" collapsed="false">
      <c r="A49" s="5" t="s">
        <v>114</v>
      </c>
      <c r="B49" s="5" t="s">
        <v>53</v>
      </c>
      <c r="C49" s="10" t="n">
        <v>1</v>
      </c>
      <c r="D49" s="10" t="n">
        <v>2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3</v>
      </c>
      <c r="J49" s="13" t="n">
        <v>0</v>
      </c>
      <c r="K49" s="17"/>
      <c r="L49" s="10"/>
      <c r="M49" s="10"/>
      <c r="N49" s="18"/>
    </row>
    <row r="50" customFormat="false" ht="15" hidden="false" customHeight="true" outlineLevel="0" collapsed="false">
      <c r="A50" s="5" t="s">
        <v>115</v>
      </c>
      <c r="B50" s="5" t="s">
        <v>53</v>
      </c>
      <c r="C50" s="10" t="n">
        <v>1</v>
      </c>
      <c r="D50" s="10" t="n">
        <v>2</v>
      </c>
      <c r="E50" s="10" t="n">
        <v>1</v>
      </c>
      <c r="F50" s="10" t="n">
        <v>0</v>
      </c>
      <c r="G50" s="10" t="n">
        <v>0</v>
      </c>
      <c r="H50" s="10" t="n">
        <v>0</v>
      </c>
      <c r="I50" s="10" t="n">
        <v>2</v>
      </c>
      <c r="J50" s="13" t="n">
        <v>0.5</v>
      </c>
      <c r="K50" s="17"/>
      <c r="L50" s="10"/>
      <c r="M50" s="10"/>
      <c r="N50" s="18"/>
    </row>
    <row r="51" customFormat="false" ht="15" hidden="false" customHeight="true" outlineLevel="0" collapsed="false">
      <c r="A51" s="5" t="s">
        <v>116</v>
      </c>
      <c r="B51" s="5" t="s">
        <v>53</v>
      </c>
      <c r="C51" s="10" t="n">
        <v>1</v>
      </c>
      <c r="D51" s="10" t="n">
        <v>1</v>
      </c>
      <c r="E51" s="10" t="n">
        <v>1</v>
      </c>
      <c r="F51" s="10" t="n">
        <v>1</v>
      </c>
      <c r="G51" s="10" t="n">
        <v>0</v>
      </c>
      <c r="H51" s="10" t="n">
        <v>0</v>
      </c>
      <c r="I51" s="10" t="n">
        <v>2</v>
      </c>
      <c r="J51" s="13" t="n">
        <v>1</v>
      </c>
      <c r="K51" s="17"/>
      <c r="L51" s="10"/>
      <c r="M51" s="10"/>
      <c r="N51" s="18"/>
    </row>
    <row r="52" customFormat="false" ht="15" hidden="false" customHeight="true" outlineLevel="0" collapsed="false">
      <c r="A52" s="5" t="s">
        <v>117</v>
      </c>
      <c r="B52" s="5" t="s">
        <v>53</v>
      </c>
      <c r="C52" s="10" t="n">
        <v>1</v>
      </c>
      <c r="D52" s="10" t="n">
        <v>3</v>
      </c>
      <c r="E52" s="10" t="n">
        <v>2</v>
      </c>
      <c r="F52" s="10" t="n">
        <v>1</v>
      </c>
      <c r="G52" s="10" t="n">
        <v>0</v>
      </c>
      <c r="H52" s="10" t="n">
        <v>0</v>
      </c>
      <c r="I52" s="10" t="n">
        <v>1</v>
      </c>
      <c r="J52" s="13" t="n">
        <v>0.667</v>
      </c>
      <c r="K52" s="17"/>
      <c r="L52" s="10"/>
      <c r="M52" s="10"/>
      <c r="N52" s="18"/>
    </row>
    <row r="53" customFormat="false" ht="15" hidden="false" customHeight="true" outlineLevel="0" collapsed="false">
      <c r="A53" s="5" t="s">
        <v>118</v>
      </c>
      <c r="B53" s="5" t="s">
        <v>53</v>
      </c>
      <c r="C53" s="10" t="n">
        <v>1</v>
      </c>
      <c r="D53" s="10" t="n">
        <v>3</v>
      </c>
      <c r="E53" s="10" t="n">
        <v>2</v>
      </c>
      <c r="F53" s="10" t="n">
        <v>2</v>
      </c>
      <c r="G53" s="10" t="n">
        <v>0</v>
      </c>
      <c r="H53" s="10" t="n">
        <v>0</v>
      </c>
      <c r="I53" s="10" t="n">
        <v>1</v>
      </c>
      <c r="J53" s="13" t="n">
        <v>0.667</v>
      </c>
      <c r="K53" s="17" t="n">
        <v>5</v>
      </c>
      <c r="L53" s="10" t="n">
        <v>0</v>
      </c>
      <c r="M53" s="10" t="n">
        <v>0</v>
      </c>
      <c r="N53" s="18" t="n">
        <v>8.4</v>
      </c>
    </row>
    <row r="54" customFormat="false" ht="15" hidden="false" customHeight="true" outlineLevel="0" collapsed="false">
      <c r="A54" s="5" t="s">
        <v>119</v>
      </c>
      <c r="B54" s="5" t="s">
        <v>53</v>
      </c>
      <c r="C54" s="10" t="n">
        <v>1</v>
      </c>
      <c r="D54" s="10" t="n">
        <v>2</v>
      </c>
      <c r="E54" s="10" t="n">
        <v>2</v>
      </c>
      <c r="F54" s="10" t="n">
        <v>1</v>
      </c>
      <c r="G54" s="10" t="n">
        <v>0</v>
      </c>
      <c r="H54" s="10" t="n">
        <v>0</v>
      </c>
      <c r="I54" s="10" t="n">
        <v>1</v>
      </c>
      <c r="J54" s="13" t="n">
        <v>1</v>
      </c>
      <c r="K54" s="17"/>
      <c r="L54" s="10"/>
      <c r="M54" s="10"/>
      <c r="N54" s="18"/>
    </row>
    <row r="55" customFormat="false" ht="15" hidden="false" customHeight="true" outlineLevel="0" collapsed="false">
      <c r="A55" s="5" t="s">
        <v>120</v>
      </c>
      <c r="B55" s="5" t="s">
        <v>53</v>
      </c>
      <c r="C55" s="10" t="n">
        <v>1</v>
      </c>
      <c r="D55" s="10" t="n">
        <v>3</v>
      </c>
      <c r="E55" s="10" t="n">
        <v>1</v>
      </c>
      <c r="F55" s="10" t="n">
        <v>1</v>
      </c>
      <c r="G55" s="10" t="n">
        <v>0</v>
      </c>
      <c r="H55" s="10" t="n">
        <v>0</v>
      </c>
      <c r="I55" s="10" t="n">
        <v>1</v>
      </c>
      <c r="J55" s="13" t="n">
        <v>0.5</v>
      </c>
      <c r="K55" s="17"/>
      <c r="L55" s="10"/>
      <c r="M55" s="10"/>
      <c r="N55" s="18"/>
    </row>
    <row r="56" customFormat="false" ht="15" hidden="false" customHeight="true" outlineLevel="0" collapsed="false">
      <c r="A56" s="5" t="s">
        <v>121</v>
      </c>
      <c r="B56" s="5" t="s">
        <v>53</v>
      </c>
      <c r="C56" s="10" t="n">
        <v>1</v>
      </c>
      <c r="D56" s="10" t="n">
        <v>3</v>
      </c>
      <c r="E56" s="10" t="n">
        <v>2</v>
      </c>
      <c r="F56" s="10" t="n">
        <v>1</v>
      </c>
      <c r="G56" s="10" t="n">
        <v>0</v>
      </c>
      <c r="H56" s="10" t="n">
        <v>0</v>
      </c>
      <c r="I56" s="10" t="n">
        <v>0</v>
      </c>
      <c r="J56" s="13" t="n">
        <v>0.667</v>
      </c>
      <c r="K56" s="17"/>
      <c r="L56" s="10"/>
      <c r="M56" s="10"/>
      <c r="N56" s="18"/>
    </row>
    <row r="57" customFormat="false" ht="15" hidden="false" customHeight="true" outlineLevel="0" collapsed="false">
      <c r="A57" s="5" t="s">
        <v>122</v>
      </c>
      <c r="B57" s="5" t="s">
        <v>53</v>
      </c>
      <c r="C57" s="10" t="n">
        <v>1</v>
      </c>
      <c r="D57" s="10" t="n">
        <v>3</v>
      </c>
      <c r="E57" s="10" t="n">
        <v>1</v>
      </c>
      <c r="F57" s="10" t="n">
        <v>0</v>
      </c>
      <c r="G57" s="10" t="n">
        <v>0</v>
      </c>
      <c r="H57" s="10" t="n">
        <v>0</v>
      </c>
      <c r="I57" s="10" t="n">
        <v>0</v>
      </c>
      <c r="J57" s="13" t="n">
        <v>0.5</v>
      </c>
      <c r="K57" s="17"/>
      <c r="L57" s="10"/>
      <c r="M57" s="10"/>
      <c r="N57" s="18"/>
    </row>
    <row r="58" customFormat="false" ht="15" hidden="false" customHeight="true" outlineLevel="0" collapsed="false">
      <c r="A58" s="5" t="s">
        <v>123</v>
      </c>
      <c r="B58" s="5" t="s">
        <v>53</v>
      </c>
      <c r="C58" s="10" t="n">
        <v>1</v>
      </c>
      <c r="D58" s="10" t="n">
        <v>3</v>
      </c>
      <c r="E58" s="10" t="n">
        <v>0</v>
      </c>
      <c r="F58" s="10" t="n">
        <v>0</v>
      </c>
      <c r="G58" s="10" t="n">
        <v>0</v>
      </c>
      <c r="H58" s="10" t="n">
        <v>0</v>
      </c>
      <c r="I58" s="10" t="n">
        <v>0</v>
      </c>
      <c r="J58" s="13" t="n">
        <v>0</v>
      </c>
      <c r="K58" s="17"/>
      <c r="L58" s="10"/>
      <c r="M58" s="10"/>
      <c r="N58" s="18"/>
    </row>
    <row r="59" customFormat="false" ht="15" hidden="false" customHeight="true" outlineLevel="0" collapsed="false">
      <c r="A59" s="5" t="s">
        <v>124</v>
      </c>
      <c r="B59" s="5" t="s">
        <v>53</v>
      </c>
      <c r="C59" s="10" t="n">
        <v>1</v>
      </c>
      <c r="D59" s="10" t="n">
        <v>2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3" t="n">
        <v>0</v>
      </c>
      <c r="K59" s="17"/>
      <c r="L59" s="10"/>
      <c r="M59" s="10"/>
      <c r="N59" s="18"/>
    </row>
    <row r="60" customFormat="false" ht="15" hidden="false" customHeight="true" outlineLevel="0" collapsed="false">
      <c r="A60" s="5" t="s">
        <v>125</v>
      </c>
      <c r="B60" s="5" t="s">
        <v>53</v>
      </c>
      <c r="C60" s="10" t="n">
        <v>1</v>
      </c>
      <c r="D60" s="10" t="n">
        <v>1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3" t="n">
        <v>0</v>
      </c>
      <c r="K60" s="17"/>
      <c r="L60" s="10"/>
      <c r="M60" s="10"/>
      <c r="N60" s="18"/>
    </row>
    <row r="61" customFormat="false" ht="15" hidden="false" customHeight="true" outlineLevel="0" collapsed="false">
      <c r="A61" s="5" t="s">
        <v>126</v>
      </c>
      <c r="B61" s="5" t="s">
        <v>53</v>
      </c>
      <c r="C61" s="10" t="n">
        <v>1</v>
      </c>
      <c r="D61" s="10" t="n">
        <v>1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3" t="n">
        <v>0</v>
      </c>
      <c r="K61" s="17"/>
      <c r="L61" s="10"/>
      <c r="M61" s="10"/>
      <c r="N61" s="18"/>
    </row>
    <row r="62" customFormat="false" ht="15" hidden="false" customHeight="true" outlineLevel="0" collapsed="false">
      <c r="A62" s="5" t="s">
        <v>127</v>
      </c>
      <c r="B62" s="5" t="s">
        <v>53</v>
      </c>
      <c r="C62" s="10" t="n">
        <v>1</v>
      </c>
      <c r="D62" s="10" t="n">
        <v>1</v>
      </c>
      <c r="E62" s="10" t="n">
        <v>0</v>
      </c>
      <c r="F62" s="10" t="n">
        <v>0</v>
      </c>
      <c r="G62" s="10" t="n">
        <v>0</v>
      </c>
      <c r="H62" s="10" t="n">
        <v>0</v>
      </c>
      <c r="I62" s="10" t="n">
        <v>0</v>
      </c>
      <c r="J62" s="13" t="n">
        <v>0</v>
      </c>
      <c r="K62" s="17"/>
      <c r="L62" s="10"/>
      <c r="M62" s="10"/>
      <c r="N62" s="18"/>
    </row>
    <row r="63" customFormat="false" ht="15" hidden="false" customHeight="true" outlineLevel="0" collapsed="false">
      <c r="A63" s="5" t="s">
        <v>128</v>
      </c>
      <c r="B63" s="5" t="s">
        <v>53</v>
      </c>
      <c r="C63" s="10" t="n">
        <v>1</v>
      </c>
      <c r="D63" s="10" t="n">
        <v>1</v>
      </c>
      <c r="E63" s="10" t="n">
        <v>0</v>
      </c>
      <c r="F63" s="10" t="n">
        <v>0</v>
      </c>
      <c r="G63" s="10" t="n">
        <v>0</v>
      </c>
      <c r="H63" s="10" t="n">
        <v>0</v>
      </c>
      <c r="I63" s="10" t="n">
        <v>0</v>
      </c>
      <c r="J63" s="13"/>
      <c r="K63" s="17"/>
      <c r="L63" s="10"/>
      <c r="M63" s="10"/>
      <c r="N63" s="18"/>
    </row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</sheetData>
  <autoFilter ref="A4:N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9" min="3" style="1" width="6"/>
    <col collapsed="false" customWidth="true" hidden="false" outlineLevel="0" max="10" min="10" style="1" width="8"/>
    <col collapsed="false" customWidth="true" hidden="false" outlineLevel="0" max="13" min="11" style="1" width="6"/>
    <col collapsed="false" customWidth="true" hidden="false" outlineLevel="0" max="14" min="14" style="1" width="8"/>
  </cols>
  <sheetData>
    <row r="1" customFormat="false" ht="19.5" hidden="false" customHeight="true" outlineLevel="0" collapsed="false">
      <c r="A1" s="2" t="s">
        <v>47</v>
      </c>
    </row>
    <row r="2" customFormat="false" ht="15" hidden="false" customHeight="true" outlineLevel="0" collapsed="false">
      <c r="A2" s="8" t="s">
        <v>68</v>
      </c>
    </row>
    <row r="4" customFormat="false" ht="19.5" hidden="false" customHeight="true" outlineLevel="0" collapsed="false">
      <c r="A4" s="15" t="s">
        <v>69</v>
      </c>
      <c r="B4" s="15" t="s">
        <v>39</v>
      </c>
      <c r="C4" s="16" t="s">
        <v>10</v>
      </c>
      <c r="D4" s="16" t="s">
        <v>12</v>
      </c>
      <c r="E4" s="16" t="s">
        <v>14</v>
      </c>
      <c r="F4" s="16" t="s">
        <v>16</v>
      </c>
      <c r="G4" s="16" t="s">
        <v>18</v>
      </c>
      <c r="H4" s="16" t="s">
        <v>20</v>
      </c>
      <c r="I4" s="16" t="s">
        <v>22</v>
      </c>
      <c r="J4" s="16" t="s">
        <v>24</v>
      </c>
      <c r="K4" s="16" t="s">
        <v>26</v>
      </c>
      <c r="L4" s="16" t="s">
        <v>28</v>
      </c>
      <c r="M4" s="16" t="s">
        <v>30</v>
      </c>
      <c r="N4" s="16" t="s">
        <v>32</v>
      </c>
    </row>
    <row r="5" customFormat="false" ht="15" hidden="false" customHeight="true" outlineLevel="0" collapsed="false">
      <c r="A5" s="5" t="s">
        <v>70</v>
      </c>
      <c r="B5" s="5" t="s">
        <v>47</v>
      </c>
      <c r="C5" s="10" t="n">
        <v>1</v>
      </c>
      <c r="D5" s="10" t="n">
        <v>4</v>
      </c>
      <c r="E5" s="10" t="n">
        <v>3</v>
      </c>
      <c r="F5" s="10" t="n">
        <v>3</v>
      </c>
      <c r="G5" s="10" t="n">
        <v>0</v>
      </c>
      <c r="H5" s="10" t="n">
        <v>0</v>
      </c>
      <c r="I5" s="10" t="n">
        <v>5</v>
      </c>
      <c r="J5" s="13" t="n">
        <v>0.75</v>
      </c>
      <c r="K5" s="17"/>
      <c r="L5" s="10"/>
      <c r="M5" s="10"/>
      <c r="N5" s="18"/>
    </row>
    <row r="6" customFormat="false" ht="15" hidden="false" customHeight="true" outlineLevel="0" collapsed="false">
      <c r="A6" s="5" t="s">
        <v>71</v>
      </c>
      <c r="B6" s="5" t="s">
        <v>47</v>
      </c>
      <c r="C6" s="10" t="n">
        <v>1</v>
      </c>
      <c r="D6" s="10" t="n">
        <v>4</v>
      </c>
      <c r="E6" s="10" t="n">
        <v>3</v>
      </c>
      <c r="F6" s="10" t="n">
        <v>1</v>
      </c>
      <c r="G6" s="10" t="n">
        <v>0</v>
      </c>
      <c r="H6" s="10" t="n">
        <v>1</v>
      </c>
      <c r="I6" s="10" t="n">
        <v>3</v>
      </c>
      <c r="J6" s="13" t="n">
        <v>0.75</v>
      </c>
      <c r="K6" s="17"/>
      <c r="L6" s="10"/>
      <c r="M6" s="10"/>
      <c r="N6" s="18"/>
    </row>
    <row r="7" customFormat="false" ht="15" hidden="false" customHeight="true" outlineLevel="0" collapsed="false">
      <c r="A7" s="5" t="s">
        <v>72</v>
      </c>
      <c r="B7" s="5" t="s">
        <v>47</v>
      </c>
      <c r="C7" s="10" t="n">
        <v>1</v>
      </c>
      <c r="D7" s="10" t="n">
        <v>3</v>
      </c>
      <c r="E7" s="10" t="n">
        <v>2</v>
      </c>
      <c r="F7" s="10" t="n">
        <v>0</v>
      </c>
      <c r="G7" s="10" t="n">
        <v>0</v>
      </c>
      <c r="H7" s="10" t="n">
        <v>0</v>
      </c>
      <c r="I7" s="10" t="n">
        <v>3</v>
      </c>
      <c r="J7" s="13" t="n">
        <v>0.667</v>
      </c>
      <c r="K7" s="17"/>
      <c r="L7" s="10"/>
      <c r="M7" s="10"/>
      <c r="N7" s="18"/>
    </row>
    <row r="8" customFormat="false" ht="15" hidden="false" customHeight="true" outlineLevel="0" collapsed="false">
      <c r="A8" s="5" t="s">
        <v>73</v>
      </c>
      <c r="B8" s="5" t="s">
        <v>47</v>
      </c>
      <c r="C8" s="10" t="n">
        <v>1</v>
      </c>
      <c r="D8" s="10" t="n">
        <v>4</v>
      </c>
      <c r="E8" s="10" t="n">
        <v>2</v>
      </c>
      <c r="F8" s="10" t="n">
        <v>1</v>
      </c>
      <c r="G8" s="10" t="n">
        <v>0</v>
      </c>
      <c r="H8" s="10" t="n">
        <v>0</v>
      </c>
      <c r="I8" s="10" t="n">
        <v>2</v>
      </c>
      <c r="J8" s="13" t="n">
        <v>0.5</v>
      </c>
      <c r="K8" s="17"/>
      <c r="L8" s="10"/>
      <c r="M8" s="10"/>
      <c r="N8" s="18"/>
    </row>
    <row r="9" customFormat="false" ht="15" hidden="false" customHeight="true" outlineLevel="0" collapsed="false">
      <c r="A9" s="5" t="s">
        <v>74</v>
      </c>
      <c r="B9" s="5" t="s">
        <v>47</v>
      </c>
      <c r="C9" s="10" t="n">
        <v>1</v>
      </c>
      <c r="D9" s="10" t="n">
        <v>3</v>
      </c>
      <c r="E9" s="10" t="n">
        <v>3</v>
      </c>
      <c r="F9" s="10" t="n">
        <v>0</v>
      </c>
      <c r="G9" s="10" t="n">
        <v>1</v>
      </c>
      <c r="H9" s="10" t="n">
        <v>0</v>
      </c>
      <c r="I9" s="10" t="n">
        <v>1</v>
      </c>
      <c r="J9" s="13" t="n">
        <v>1</v>
      </c>
      <c r="K9" s="17"/>
      <c r="L9" s="10"/>
      <c r="M9" s="10"/>
      <c r="N9" s="18"/>
    </row>
    <row r="10" customFormat="false" ht="15" hidden="false" customHeight="true" outlineLevel="0" collapsed="false">
      <c r="A10" s="5" t="s">
        <v>75</v>
      </c>
      <c r="B10" s="5" t="s">
        <v>47</v>
      </c>
      <c r="C10" s="10" t="n">
        <v>1</v>
      </c>
      <c r="D10" s="10" t="n">
        <v>4</v>
      </c>
      <c r="E10" s="10" t="n">
        <v>1</v>
      </c>
      <c r="F10" s="10" t="n">
        <v>1</v>
      </c>
      <c r="G10" s="10" t="n">
        <v>0</v>
      </c>
      <c r="H10" s="10" t="n">
        <v>0</v>
      </c>
      <c r="I10" s="10" t="n">
        <v>1</v>
      </c>
      <c r="J10" s="13" t="n">
        <v>0.25</v>
      </c>
      <c r="K10" s="17"/>
      <c r="L10" s="10"/>
      <c r="M10" s="10"/>
      <c r="N10" s="18"/>
    </row>
    <row r="11" customFormat="false" ht="15" hidden="false" customHeight="true" outlineLevel="0" collapsed="false">
      <c r="A11" s="5" t="s">
        <v>76</v>
      </c>
      <c r="B11" s="5" t="s">
        <v>47</v>
      </c>
      <c r="C11" s="10" t="n">
        <v>1</v>
      </c>
      <c r="D11" s="10" t="n">
        <v>4</v>
      </c>
      <c r="E11" s="10" t="n">
        <v>1</v>
      </c>
      <c r="F11" s="10" t="n">
        <v>1</v>
      </c>
      <c r="G11" s="10" t="n">
        <v>0</v>
      </c>
      <c r="H11" s="10" t="n">
        <v>0</v>
      </c>
      <c r="I11" s="10" t="n">
        <v>1</v>
      </c>
      <c r="J11" s="13" t="n">
        <v>0.333</v>
      </c>
      <c r="K11" s="17"/>
      <c r="L11" s="10"/>
      <c r="M11" s="10"/>
      <c r="N11" s="18"/>
    </row>
    <row r="12" customFormat="false" ht="15" hidden="false" customHeight="true" outlineLevel="0" collapsed="false">
      <c r="A12" s="5" t="s">
        <v>77</v>
      </c>
      <c r="B12" s="5" t="s">
        <v>47</v>
      </c>
      <c r="C12" s="10" t="n">
        <v>1</v>
      </c>
      <c r="D12" s="10" t="n">
        <v>3</v>
      </c>
      <c r="E12" s="10" t="n">
        <v>1</v>
      </c>
      <c r="F12" s="10" t="n">
        <v>0</v>
      </c>
      <c r="G12" s="10" t="n">
        <v>0</v>
      </c>
      <c r="H12" s="10" t="n">
        <v>0</v>
      </c>
      <c r="I12" s="10" t="n">
        <v>1</v>
      </c>
      <c r="J12" s="13" t="n">
        <v>0.333</v>
      </c>
      <c r="K12" s="17"/>
      <c r="L12" s="10"/>
      <c r="M12" s="10"/>
      <c r="N12" s="18"/>
    </row>
    <row r="13" customFormat="false" ht="15" hidden="false" customHeight="true" outlineLevel="0" collapsed="false">
      <c r="A13" s="5" t="s">
        <v>78</v>
      </c>
      <c r="B13" s="5" t="s">
        <v>47</v>
      </c>
      <c r="C13" s="10" t="n">
        <v>1</v>
      </c>
      <c r="D13" s="10" t="n">
        <v>2</v>
      </c>
      <c r="E13" s="10" t="n">
        <v>2</v>
      </c>
      <c r="F13" s="10" t="n">
        <v>0</v>
      </c>
      <c r="G13" s="10" t="n">
        <v>0</v>
      </c>
      <c r="H13" s="10" t="n">
        <v>0</v>
      </c>
      <c r="I13" s="10" t="n">
        <v>0</v>
      </c>
      <c r="J13" s="13" t="n">
        <v>1</v>
      </c>
      <c r="K13" s="17"/>
      <c r="L13" s="10"/>
      <c r="M13" s="10"/>
      <c r="N13" s="18"/>
    </row>
    <row r="14" customFormat="false" ht="15" hidden="false" customHeight="true" outlineLevel="0" collapsed="false">
      <c r="A14" s="5" t="s">
        <v>79</v>
      </c>
      <c r="B14" s="5" t="s">
        <v>47</v>
      </c>
      <c r="C14" s="10" t="n">
        <v>1</v>
      </c>
      <c r="D14" s="10" t="n">
        <v>4</v>
      </c>
      <c r="E14" s="10" t="n">
        <v>1</v>
      </c>
      <c r="F14" s="10" t="n">
        <v>0</v>
      </c>
      <c r="G14" s="10" t="n">
        <v>0</v>
      </c>
      <c r="H14" s="10" t="n">
        <v>0</v>
      </c>
      <c r="I14" s="10" t="n">
        <v>0</v>
      </c>
      <c r="J14" s="13" t="n">
        <v>0.333</v>
      </c>
      <c r="K14" s="17"/>
      <c r="L14" s="10"/>
      <c r="M14" s="10"/>
      <c r="N14" s="18"/>
    </row>
    <row r="15" customFormat="false" ht="15" hidden="false" customHeight="true" outlineLevel="0" collapsed="false">
      <c r="A15" s="5" t="s">
        <v>80</v>
      </c>
      <c r="B15" s="5" t="s">
        <v>47</v>
      </c>
      <c r="C15" s="10" t="n">
        <v>1</v>
      </c>
      <c r="D15" s="10" t="n">
        <v>1</v>
      </c>
      <c r="E15" s="10" t="n">
        <v>1</v>
      </c>
      <c r="F15" s="10" t="n">
        <v>0</v>
      </c>
      <c r="G15" s="10" t="n">
        <v>0</v>
      </c>
      <c r="H15" s="10" t="n">
        <v>0</v>
      </c>
      <c r="I15" s="10" t="n">
        <v>0</v>
      </c>
      <c r="J15" s="13" t="n">
        <v>1</v>
      </c>
      <c r="K15" s="17"/>
      <c r="L15" s="10"/>
      <c r="M15" s="10"/>
      <c r="N15" s="18"/>
    </row>
    <row r="16" customFormat="false" ht="15" hidden="false" customHeight="true" outlineLevel="0" collapsed="false">
      <c r="A16" s="5" t="s">
        <v>81</v>
      </c>
      <c r="B16" s="5" t="s">
        <v>47</v>
      </c>
      <c r="C16" s="10" t="n">
        <v>1</v>
      </c>
      <c r="D16" s="10" t="n">
        <v>2</v>
      </c>
      <c r="E16" s="10" t="n">
        <v>0</v>
      </c>
      <c r="F16" s="10" t="n">
        <v>0</v>
      </c>
      <c r="G16" s="10" t="n">
        <v>0</v>
      </c>
      <c r="H16" s="10" t="n">
        <v>0</v>
      </c>
      <c r="I16" s="10" t="n">
        <v>0</v>
      </c>
      <c r="J16" s="13" t="n">
        <v>0</v>
      </c>
      <c r="K16" s="17"/>
      <c r="L16" s="10"/>
      <c r="M16" s="10"/>
      <c r="N16" s="18"/>
    </row>
    <row r="17" customFormat="false" ht="15" hidden="false" customHeight="true" outlineLevel="0" collapsed="false">
      <c r="A17" s="5" t="s">
        <v>82</v>
      </c>
      <c r="B17" s="5" t="s">
        <v>47</v>
      </c>
      <c r="C17" s="10" t="n">
        <v>1</v>
      </c>
      <c r="D17" s="10" t="n">
        <v>1</v>
      </c>
      <c r="E17" s="10" t="n">
        <v>0</v>
      </c>
      <c r="F17" s="10" t="n">
        <v>0</v>
      </c>
      <c r="G17" s="10" t="n">
        <v>0</v>
      </c>
      <c r="H17" s="10" t="n">
        <v>0</v>
      </c>
      <c r="I17" s="10" t="n">
        <v>0</v>
      </c>
      <c r="J17" s="13" t="n">
        <v>0</v>
      </c>
      <c r="K17" s="17"/>
      <c r="L17" s="10"/>
      <c r="M17" s="10"/>
      <c r="N17" s="18"/>
    </row>
    <row r="18" customFormat="false" ht="15" hidden="false" customHeight="true" outlineLevel="0" collapsed="false">
      <c r="A18" s="5" t="s">
        <v>83</v>
      </c>
      <c r="B18" s="5" t="s">
        <v>47</v>
      </c>
      <c r="C18" s="10" t="n">
        <v>1</v>
      </c>
      <c r="D18" s="10" t="n">
        <v>0</v>
      </c>
      <c r="E18" s="10" t="n">
        <v>0</v>
      </c>
      <c r="F18" s="10" t="n">
        <v>0</v>
      </c>
      <c r="G18" s="10" t="n">
        <v>0</v>
      </c>
      <c r="H18" s="10" t="n">
        <v>0</v>
      </c>
      <c r="I18" s="10" t="n">
        <v>0</v>
      </c>
      <c r="J18" s="13"/>
      <c r="K18" s="17" t="n">
        <v>4</v>
      </c>
      <c r="L18" s="10" t="n">
        <v>1</v>
      </c>
      <c r="M18" s="10" t="n">
        <v>1</v>
      </c>
      <c r="N18" s="18" t="n">
        <v>8.75</v>
      </c>
    </row>
    <row r="19" customFormat="false" ht="15" hidden="false" customHeight="true" outlineLevel="0" collapsed="false">
      <c r="A19" s="5" t="s">
        <v>84</v>
      </c>
      <c r="B19" s="5" t="s">
        <v>47</v>
      </c>
      <c r="C19" s="10" t="n">
        <v>1</v>
      </c>
      <c r="D19" s="10" t="n">
        <v>0</v>
      </c>
      <c r="E19" s="10" t="n">
        <v>0</v>
      </c>
      <c r="F19" s="10" t="n">
        <v>0</v>
      </c>
      <c r="G19" s="10" t="n">
        <v>0</v>
      </c>
      <c r="H19" s="10" t="n">
        <v>0</v>
      </c>
      <c r="I19" s="10" t="n">
        <v>0</v>
      </c>
      <c r="J19" s="13"/>
      <c r="K19" s="17" t="n">
        <v>1</v>
      </c>
      <c r="L19" s="10" t="n">
        <v>0</v>
      </c>
      <c r="M19" s="10" t="n">
        <v>1</v>
      </c>
      <c r="N19" s="18" t="n">
        <v>35</v>
      </c>
    </row>
    <row r="20" customFormat="false" ht="15" hidden="false" customHeight="false" outlineLevel="0" collapsed="false">
      <c r="A20" s="19" t="s">
        <v>129</v>
      </c>
      <c r="B20" s="20"/>
      <c r="C20" s="20"/>
      <c r="D20" s="21" t="n">
        <f aca="false">SUM(D5:D19)</f>
        <v>39</v>
      </c>
      <c r="E20" s="21" t="n">
        <f aca="false">SUM(E5:E19)</f>
        <v>20</v>
      </c>
      <c r="F20" s="21" t="n">
        <f aca="false">SUM(F5:F19)</f>
        <v>7</v>
      </c>
      <c r="G20" s="21" t="n">
        <f aca="false">SUM(G5:G19)</f>
        <v>1</v>
      </c>
      <c r="H20" s="21" t="n">
        <f aca="false">SUM(H5:H19)</f>
        <v>1</v>
      </c>
      <c r="I20" s="21" t="n">
        <f aca="false">SUM(I5:I19)</f>
        <v>17</v>
      </c>
      <c r="J20" s="20"/>
      <c r="K20" s="22" t="n">
        <f aca="false">SUM(K5:K19)</f>
        <v>5</v>
      </c>
      <c r="L20" s="21" t="n">
        <f aca="false">SUM(L5:L19)</f>
        <v>1</v>
      </c>
      <c r="M20" s="21" t="n">
        <f aca="false">SUM(M5:M19)</f>
        <v>2</v>
      </c>
      <c r="N20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9" min="3" style="1" width="6"/>
    <col collapsed="false" customWidth="true" hidden="false" outlineLevel="0" max="10" min="10" style="1" width="8"/>
    <col collapsed="false" customWidth="true" hidden="false" outlineLevel="0" max="13" min="11" style="1" width="6"/>
    <col collapsed="false" customWidth="true" hidden="false" outlineLevel="0" max="14" min="14" style="1" width="8"/>
  </cols>
  <sheetData>
    <row r="1" customFormat="false" ht="19.5" hidden="false" customHeight="true" outlineLevel="0" collapsed="false">
      <c r="A1" s="2" t="s">
        <v>49</v>
      </c>
    </row>
    <row r="2" customFormat="false" ht="15" hidden="false" customHeight="true" outlineLevel="0" collapsed="false">
      <c r="A2" s="8" t="s">
        <v>68</v>
      </c>
    </row>
    <row r="4" customFormat="false" ht="19.5" hidden="false" customHeight="true" outlineLevel="0" collapsed="false">
      <c r="A4" s="15" t="s">
        <v>69</v>
      </c>
      <c r="B4" s="15" t="s">
        <v>39</v>
      </c>
      <c r="C4" s="16" t="s">
        <v>10</v>
      </c>
      <c r="D4" s="16" t="s">
        <v>12</v>
      </c>
      <c r="E4" s="16" t="s">
        <v>14</v>
      </c>
      <c r="F4" s="16" t="s">
        <v>16</v>
      </c>
      <c r="G4" s="16" t="s">
        <v>18</v>
      </c>
      <c r="H4" s="16" t="s">
        <v>20</v>
      </c>
      <c r="I4" s="16" t="s">
        <v>22</v>
      </c>
      <c r="J4" s="16" t="s">
        <v>24</v>
      </c>
      <c r="K4" s="16" t="s">
        <v>26</v>
      </c>
      <c r="L4" s="16" t="s">
        <v>28</v>
      </c>
      <c r="M4" s="16" t="s">
        <v>30</v>
      </c>
      <c r="N4" s="16" t="s">
        <v>32</v>
      </c>
    </row>
    <row r="5" customFormat="false" ht="15" hidden="false" customHeight="true" outlineLevel="0" collapsed="false">
      <c r="A5" s="5" t="s">
        <v>85</v>
      </c>
      <c r="B5" s="5" t="s">
        <v>49</v>
      </c>
      <c r="C5" s="10" t="n">
        <v>1</v>
      </c>
      <c r="D5" s="10" t="n">
        <v>3</v>
      </c>
      <c r="E5" s="10" t="n">
        <v>2</v>
      </c>
      <c r="F5" s="10" t="n">
        <v>1</v>
      </c>
      <c r="G5" s="10" t="n">
        <v>0</v>
      </c>
      <c r="H5" s="10" t="n">
        <v>0</v>
      </c>
      <c r="I5" s="10" t="n">
        <v>2</v>
      </c>
      <c r="J5" s="13" t="n">
        <v>0.667</v>
      </c>
      <c r="K5" s="17"/>
      <c r="L5" s="10"/>
      <c r="M5" s="10"/>
      <c r="N5" s="18"/>
    </row>
    <row r="6" customFormat="false" ht="15" hidden="false" customHeight="true" outlineLevel="0" collapsed="false">
      <c r="A6" s="5" t="s">
        <v>86</v>
      </c>
      <c r="B6" s="5" t="s">
        <v>49</v>
      </c>
      <c r="C6" s="10" t="n">
        <v>1</v>
      </c>
      <c r="D6" s="10" t="n">
        <v>3</v>
      </c>
      <c r="E6" s="10" t="n">
        <v>2</v>
      </c>
      <c r="F6" s="10" t="n">
        <v>2</v>
      </c>
      <c r="G6" s="10" t="n">
        <v>0</v>
      </c>
      <c r="H6" s="10" t="n">
        <v>0</v>
      </c>
      <c r="I6" s="10" t="n">
        <v>1</v>
      </c>
      <c r="J6" s="13" t="n">
        <v>1</v>
      </c>
      <c r="K6" s="17"/>
      <c r="L6" s="10"/>
      <c r="M6" s="10"/>
      <c r="N6" s="18"/>
    </row>
    <row r="7" customFormat="false" ht="15" hidden="false" customHeight="true" outlineLevel="0" collapsed="false">
      <c r="A7" s="5" t="s">
        <v>87</v>
      </c>
      <c r="B7" s="5" t="s">
        <v>49</v>
      </c>
      <c r="C7" s="10" t="n">
        <v>1</v>
      </c>
      <c r="D7" s="10" t="n">
        <v>3</v>
      </c>
      <c r="E7" s="10" t="n">
        <v>1</v>
      </c>
      <c r="F7" s="10" t="n">
        <v>0</v>
      </c>
      <c r="G7" s="10" t="n">
        <v>0</v>
      </c>
      <c r="H7" s="10" t="n">
        <v>0</v>
      </c>
      <c r="I7" s="10" t="n">
        <v>1</v>
      </c>
      <c r="J7" s="13" t="n">
        <v>0.333</v>
      </c>
      <c r="K7" s="17"/>
      <c r="L7" s="10"/>
      <c r="M7" s="10"/>
      <c r="N7" s="18"/>
    </row>
    <row r="8" customFormat="false" ht="15" hidden="false" customHeight="true" outlineLevel="0" collapsed="false">
      <c r="A8" s="5" t="s">
        <v>88</v>
      </c>
      <c r="B8" s="5" t="s">
        <v>49</v>
      </c>
      <c r="C8" s="10" t="n">
        <v>1</v>
      </c>
      <c r="D8" s="10" t="n">
        <v>3</v>
      </c>
      <c r="E8" s="10" t="n">
        <v>1</v>
      </c>
      <c r="F8" s="10" t="n">
        <v>0</v>
      </c>
      <c r="G8" s="10" t="n">
        <v>0</v>
      </c>
      <c r="H8" s="10" t="n">
        <v>0</v>
      </c>
      <c r="I8" s="10" t="n">
        <v>1</v>
      </c>
      <c r="J8" s="13" t="n">
        <v>1</v>
      </c>
      <c r="K8" s="17"/>
      <c r="L8" s="10"/>
      <c r="M8" s="10"/>
      <c r="N8" s="18"/>
    </row>
    <row r="9" customFormat="false" ht="15" hidden="false" customHeight="true" outlineLevel="0" collapsed="false">
      <c r="A9" s="5" t="s">
        <v>89</v>
      </c>
      <c r="B9" s="5" t="s">
        <v>49</v>
      </c>
      <c r="C9" s="10" t="n">
        <v>1</v>
      </c>
      <c r="D9" s="10" t="n">
        <v>2</v>
      </c>
      <c r="E9" s="10" t="n">
        <v>1</v>
      </c>
      <c r="F9" s="10" t="n">
        <v>1</v>
      </c>
      <c r="G9" s="10" t="n">
        <v>0</v>
      </c>
      <c r="H9" s="10" t="n">
        <v>0</v>
      </c>
      <c r="I9" s="10" t="n">
        <v>1</v>
      </c>
      <c r="J9" s="13" t="n">
        <v>0.5</v>
      </c>
      <c r="K9" s="17"/>
      <c r="L9" s="10"/>
      <c r="M9" s="10"/>
      <c r="N9" s="18"/>
    </row>
    <row r="10" customFormat="false" ht="15" hidden="false" customHeight="true" outlineLevel="0" collapsed="false">
      <c r="A10" s="5" t="s">
        <v>90</v>
      </c>
      <c r="B10" s="5" t="s">
        <v>49</v>
      </c>
      <c r="C10" s="10" t="n">
        <v>1</v>
      </c>
      <c r="D10" s="10" t="n">
        <v>3</v>
      </c>
      <c r="E10" s="10" t="n">
        <v>0</v>
      </c>
      <c r="F10" s="10" t="n">
        <v>0</v>
      </c>
      <c r="G10" s="10" t="n">
        <v>0</v>
      </c>
      <c r="H10" s="10" t="n">
        <v>0</v>
      </c>
      <c r="I10" s="10" t="n">
        <v>1</v>
      </c>
      <c r="J10" s="13" t="n">
        <v>0</v>
      </c>
      <c r="K10" s="17"/>
      <c r="L10" s="10"/>
      <c r="M10" s="10"/>
      <c r="N10" s="18"/>
    </row>
    <row r="11" customFormat="false" ht="15" hidden="false" customHeight="true" outlineLevel="0" collapsed="false">
      <c r="A11" s="5" t="s">
        <v>91</v>
      </c>
      <c r="B11" s="5" t="s">
        <v>49</v>
      </c>
      <c r="C11" s="10" t="n">
        <v>1</v>
      </c>
      <c r="D11" s="10" t="n">
        <v>2</v>
      </c>
      <c r="E11" s="10" t="n">
        <v>0</v>
      </c>
      <c r="F11" s="10" t="n">
        <v>0</v>
      </c>
      <c r="G11" s="10" t="n">
        <v>0</v>
      </c>
      <c r="H11" s="10" t="n">
        <v>0</v>
      </c>
      <c r="I11" s="10" t="n">
        <v>1</v>
      </c>
      <c r="J11" s="13" t="n">
        <v>0</v>
      </c>
      <c r="K11" s="17"/>
      <c r="L11" s="10"/>
      <c r="M11" s="10"/>
      <c r="N11" s="18"/>
    </row>
    <row r="12" customFormat="false" ht="15" hidden="false" customHeight="true" outlineLevel="0" collapsed="false">
      <c r="A12" s="5" t="s">
        <v>92</v>
      </c>
      <c r="B12" s="5" t="s">
        <v>49</v>
      </c>
      <c r="C12" s="10" t="n">
        <v>1</v>
      </c>
      <c r="D12" s="10" t="n">
        <v>3</v>
      </c>
      <c r="E12" s="10" t="n">
        <v>2</v>
      </c>
      <c r="F12" s="10" t="n">
        <v>0</v>
      </c>
      <c r="G12" s="10" t="n">
        <v>0</v>
      </c>
      <c r="H12" s="10" t="n">
        <v>0</v>
      </c>
      <c r="I12" s="10" t="n">
        <v>0</v>
      </c>
      <c r="J12" s="13" t="n">
        <v>0.667</v>
      </c>
      <c r="K12" s="17"/>
      <c r="L12" s="10"/>
      <c r="M12" s="10"/>
      <c r="N12" s="18"/>
    </row>
    <row r="13" customFormat="false" ht="15" hidden="false" customHeight="true" outlineLevel="0" collapsed="false">
      <c r="A13" s="5" t="s">
        <v>93</v>
      </c>
      <c r="B13" s="5" t="s">
        <v>49</v>
      </c>
      <c r="C13" s="10" t="n">
        <v>1</v>
      </c>
      <c r="D13" s="10" t="n">
        <v>2</v>
      </c>
      <c r="E13" s="10" t="n">
        <v>1</v>
      </c>
      <c r="F13" s="10" t="n">
        <v>0</v>
      </c>
      <c r="G13" s="10" t="n">
        <v>0</v>
      </c>
      <c r="H13" s="10" t="n">
        <v>0</v>
      </c>
      <c r="I13" s="10" t="n">
        <v>0</v>
      </c>
      <c r="J13" s="13" t="n">
        <v>1</v>
      </c>
      <c r="K13" s="17"/>
      <c r="L13" s="10"/>
      <c r="M13" s="10"/>
      <c r="N13" s="18"/>
    </row>
    <row r="14" customFormat="false" ht="15" hidden="false" customHeight="true" outlineLevel="0" collapsed="false">
      <c r="A14" s="5" t="s">
        <v>94</v>
      </c>
      <c r="B14" s="5" t="s">
        <v>49</v>
      </c>
      <c r="C14" s="10" t="n">
        <v>1</v>
      </c>
      <c r="D14" s="10" t="n">
        <v>3</v>
      </c>
      <c r="E14" s="10" t="n">
        <v>0</v>
      </c>
      <c r="F14" s="10" t="n">
        <v>0</v>
      </c>
      <c r="G14" s="10" t="n">
        <v>0</v>
      </c>
      <c r="H14" s="10" t="n">
        <v>0</v>
      </c>
      <c r="I14" s="10" t="n">
        <v>0</v>
      </c>
      <c r="J14" s="13"/>
      <c r="K14" s="17"/>
      <c r="L14" s="10"/>
      <c r="M14" s="10"/>
      <c r="N14" s="18"/>
    </row>
    <row r="15" customFormat="false" ht="15" hidden="false" customHeight="true" outlineLevel="0" collapsed="false">
      <c r="A15" s="5" t="s">
        <v>95</v>
      </c>
      <c r="B15" s="5" t="s">
        <v>49</v>
      </c>
      <c r="C15" s="10" t="n">
        <v>1</v>
      </c>
      <c r="D15" s="10" t="n">
        <v>2</v>
      </c>
      <c r="E15" s="10" t="n">
        <v>0</v>
      </c>
      <c r="F15" s="10" t="n">
        <v>0</v>
      </c>
      <c r="G15" s="10" t="n">
        <v>0</v>
      </c>
      <c r="H15" s="10" t="n">
        <v>0</v>
      </c>
      <c r="I15" s="10" t="n">
        <v>0</v>
      </c>
      <c r="J15" s="13" t="n">
        <v>0</v>
      </c>
      <c r="K15" s="17"/>
      <c r="L15" s="10"/>
      <c r="M15" s="10"/>
      <c r="N15" s="18"/>
    </row>
    <row r="16" customFormat="false" ht="15" hidden="false" customHeight="true" outlineLevel="0" collapsed="false">
      <c r="A16" s="5" t="s">
        <v>96</v>
      </c>
      <c r="B16" s="5" t="s">
        <v>49</v>
      </c>
      <c r="C16" s="10" t="n">
        <v>1</v>
      </c>
      <c r="D16" s="10" t="n">
        <v>1</v>
      </c>
      <c r="E16" s="10" t="n">
        <v>0</v>
      </c>
      <c r="F16" s="10" t="n">
        <v>0</v>
      </c>
      <c r="G16" s="10" t="n">
        <v>0</v>
      </c>
      <c r="H16" s="10" t="n">
        <v>0</v>
      </c>
      <c r="I16" s="10" t="n">
        <v>0</v>
      </c>
      <c r="J16" s="13" t="n">
        <v>0</v>
      </c>
      <c r="K16" s="17"/>
      <c r="L16" s="10"/>
      <c r="M16" s="10"/>
      <c r="N16" s="18"/>
    </row>
    <row r="17" customFormat="false" ht="15" hidden="false" customHeight="true" outlineLevel="0" collapsed="false">
      <c r="A17" s="5" t="s">
        <v>97</v>
      </c>
      <c r="B17" s="5" t="s">
        <v>49</v>
      </c>
      <c r="C17" s="10" t="n">
        <v>1</v>
      </c>
      <c r="D17" s="10" t="n">
        <v>1</v>
      </c>
      <c r="E17" s="10" t="n">
        <v>0</v>
      </c>
      <c r="F17" s="10" t="n">
        <v>0</v>
      </c>
      <c r="G17" s="10" t="n">
        <v>0</v>
      </c>
      <c r="H17" s="10" t="n">
        <v>0</v>
      </c>
      <c r="I17" s="10" t="n">
        <v>0</v>
      </c>
      <c r="J17" s="13" t="n">
        <v>0</v>
      </c>
      <c r="K17" s="17"/>
      <c r="L17" s="10"/>
      <c r="M17" s="10"/>
      <c r="N17" s="18"/>
    </row>
    <row r="18" customFormat="false" ht="15" hidden="false" customHeight="true" outlineLevel="0" collapsed="false">
      <c r="A18" s="5" t="s">
        <v>98</v>
      </c>
      <c r="B18" s="5" t="s">
        <v>49</v>
      </c>
      <c r="C18" s="10" t="n">
        <v>1</v>
      </c>
      <c r="D18" s="10" t="n">
        <v>1</v>
      </c>
      <c r="E18" s="10" t="n">
        <v>0</v>
      </c>
      <c r="F18" s="10" t="n">
        <v>0</v>
      </c>
      <c r="G18" s="10" t="n">
        <v>0</v>
      </c>
      <c r="H18" s="10" t="n">
        <v>0</v>
      </c>
      <c r="I18" s="10" t="n">
        <v>0</v>
      </c>
      <c r="J18" s="13" t="n">
        <v>0</v>
      </c>
      <c r="K18" s="17"/>
      <c r="L18" s="10"/>
      <c r="M18" s="10"/>
      <c r="N18" s="18"/>
    </row>
    <row r="19" customFormat="false" ht="15" hidden="false" customHeight="true" outlineLevel="0" collapsed="false">
      <c r="A19" s="5" t="s">
        <v>99</v>
      </c>
      <c r="B19" s="5" t="s">
        <v>49</v>
      </c>
      <c r="C19" s="10" t="n">
        <v>1</v>
      </c>
      <c r="D19" s="10" t="n">
        <v>1</v>
      </c>
      <c r="E19" s="10" t="n">
        <v>0</v>
      </c>
      <c r="F19" s="10" t="n">
        <v>0</v>
      </c>
      <c r="G19" s="10" t="n">
        <v>0</v>
      </c>
      <c r="H19" s="10" t="n">
        <v>0</v>
      </c>
      <c r="I19" s="10" t="n">
        <v>0</v>
      </c>
      <c r="J19" s="13"/>
      <c r="K19" s="17"/>
      <c r="L19" s="10"/>
      <c r="M19" s="10"/>
      <c r="N19" s="18"/>
    </row>
    <row r="20" customFormat="false" ht="15" hidden="false" customHeight="false" outlineLevel="0" collapsed="false">
      <c r="A20" s="5" t="s">
        <v>100</v>
      </c>
      <c r="B20" s="5" t="s">
        <v>49</v>
      </c>
      <c r="C20" s="10" t="n">
        <v>1</v>
      </c>
      <c r="D20" s="10" t="n">
        <v>0</v>
      </c>
      <c r="E20" s="10" t="n">
        <v>0</v>
      </c>
      <c r="F20" s="10" t="n">
        <v>0</v>
      </c>
      <c r="G20" s="10" t="n">
        <v>0</v>
      </c>
      <c r="H20" s="10" t="n">
        <v>0</v>
      </c>
      <c r="I20" s="10" t="n">
        <v>0</v>
      </c>
      <c r="J20" s="13"/>
      <c r="K20" s="17" t="n">
        <v>6</v>
      </c>
      <c r="L20" s="10" t="n">
        <v>1</v>
      </c>
      <c r="M20" s="10" t="n">
        <v>1</v>
      </c>
      <c r="N20" s="18" t="n">
        <v>8.17</v>
      </c>
    </row>
    <row r="21" customFormat="false" ht="15" hidden="false" customHeight="false" outlineLevel="0" collapsed="false">
      <c r="A21" s="19" t="s">
        <v>129</v>
      </c>
      <c r="B21" s="20"/>
      <c r="C21" s="20"/>
      <c r="D21" s="21" t="n">
        <f aca="false">SUM(D5:D20)</f>
        <v>33</v>
      </c>
      <c r="E21" s="21" t="n">
        <f aca="false">SUM(E5:E20)</f>
        <v>10</v>
      </c>
      <c r="F21" s="21" t="n">
        <f aca="false">SUM(F5:F20)</f>
        <v>4</v>
      </c>
      <c r="G21" s="21" t="n">
        <f aca="false">SUM(G5:G20)</f>
        <v>0</v>
      </c>
      <c r="H21" s="21" t="n">
        <f aca="false">SUM(H5:H20)</f>
        <v>0</v>
      </c>
      <c r="I21" s="21" t="n">
        <f aca="false">SUM(I5:I20)</f>
        <v>8</v>
      </c>
      <c r="J21" s="20"/>
      <c r="K21" s="22" t="n">
        <f aca="false">SUM(K5:K20)</f>
        <v>6</v>
      </c>
      <c r="L21" s="21" t="n">
        <f aca="false">SUM(L5:L20)</f>
        <v>1</v>
      </c>
      <c r="M21" s="21" t="n">
        <f aca="false">SUM(M5:M20)</f>
        <v>1</v>
      </c>
      <c r="N21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9" min="3" style="1" width="6"/>
    <col collapsed="false" customWidth="true" hidden="false" outlineLevel="0" max="10" min="10" style="1" width="8"/>
    <col collapsed="false" customWidth="true" hidden="false" outlineLevel="0" max="13" min="11" style="1" width="6"/>
    <col collapsed="false" customWidth="true" hidden="false" outlineLevel="0" max="14" min="14" style="1" width="8"/>
  </cols>
  <sheetData>
    <row r="1" customFormat="false" ht="19.5" hidden="false" customHeight="true" outlineLevel="0" collapsed="false">
      <c r="A1" s="2" t="s">
        <v>51</v>
      </c>
    </row>
    <row r="2" customFormat="false" ht="15" hidden="false" customHeight="true" outlineLevel="0" collapsed="false">
      <c r="A2" s="8" t="s">
        <v>68</v>
      </c>
    </row>
    <row r="4" customFormat="false" ht="19.5" hidden="false" customHeight="true" outlineLevel="0" collapsed="false">
      <c r="A4" s="15" t="s">
        <v>69</v>
      </c>
      <c r="B4" s="15" t="s">
        <v>39</v>
      </c>
      <c r="C4" s="16" t="s">
        <v>10</v>
      </c>
      <c r="D4" s="16" t="s">
        <v>12</v>
      </c>
      <c r="E4" s="16" t="s">
        <v>14</v>
      </c>
      <c r="F4" s="16" t="s">
        <v>16</v>
      </c>
      <c r="G4" s="16" t="s">
        <v>18</v>
      </c>
      <c r="H4" s="16" t="s">
        <v>20</v>
      </c>
      <c r="I4" s="16" t="s">
        <v>22</v>
      </c>
      <c r="J4" s="16" t="s">
        <v>24</v>
      </c>
      <c r="K4" s="16" t="s">
        <v>26</v>
      </c>
      <c r="L4" s="16" t="s">
        <v>28</v>
      </c>
      <c r="M4" s="16" t="s">
        <v>30</v>
      </c>
      <c r="N4" s="16" t="s">
        <v>32</v>
      </c>
    </row>
    <row r="5" customFormat="false" ht="15" hidden="false" customHeight="true" outlineLevel="0" collapsed="false">
      <c r="A5" s="5" t="s">
        <v>101</v>
      </c>
      <c r="B5" s="5" t="s">
        <v>51</v>
      </c>
      <c r="C5" s="10" t="n">
        <v>1</v>
      </c>
      <c r="D5" s="10" t="n">
        <v>3</v>
      </c>
      <c r="E5" s="10" t="n">
        <v>2</v>
      </c>
      <c r="F5" s="10" t="n">
        <v>0</v>
      </c>
      <c r="G5" s="10" t="n">
        <v>0</v>
      </c>
      <c r="H5" s="10" t="n">
        <v>0</v>
      </c>
      <c r="I5" s="10" t="n">
        <v>2</v>
      </c>
      <c r="J5" s="13" t="n">
        <v>0.667</v>
      </c>
      <c r="K5" s="17"/>
      <c r="L5" s="10"/>
      <c r="M5" s="10"/>
      <c r="N5" s="18"/>
    </row>
    <row r="6" customFormat="false" ht="15" hidden="false" customHeight="true" outlineLevel="0" collapsed="false">
      <c r="A6" s="5" t="s">
        <v>102</v>
      </c>
      <c r="B6" s="5" t="s">
        <v>51</v>
      </c>
      <c r="C6" s="10" t="n">
        <v>1</v>
      </c>
      <c r="D6" s="10" t="n">
        <v>3</v>
      </c>
      <c r="E6" s="10" t="n">
        <v>2</v>
      </c>
      <c r="F6" s="10" t="n">
        <v>1</v>
      </c>
      <c r="G6" s="10" t="n">
        <v>1</v>
      </c>
      <c r="H6" s="10" t="n">
        <v>0</v>
      </c>
      <c r="I6" s="10" t="n">
        <v>2</v>
      </c>
      <c r="J6" s="13" t="n">
        <v>1</v>
      </c>
      <c r="K6" s="17"/>
      <c r="L6" s="10"/>
      <c r="M6" s="10"/>
      <c r="N6" s="18"/>
    </row>
    <row r="7" customFormat="false" ht="15" hidden="false" customHeight="true" outlineLevel="0" collapsed="false">
      <c r="A7" s="5" t="s">
        <v>103</v>
      </c>
      <c r="B7" s="5" t="s">
        <v>51</v>
      </c>
      <c r="C7" s="10" t="n">
        <v>1</v>
      </c>
      <c r="D7" s="10" t="n">
        <v>3</v>
      </c>
      <c r="E7" s="10" t="n">
        <v>1</v>
      </c>
      <c r="F7" s="10" t="n">
        <v>0</v>
      </c>
      <c r="G7" s="10" t="n">
        <v>1</v>
      </c>
      <c r="H7" s="10" t="n">
        <v>0</v>
      </c>
      <c r="I7" s="10" t="n">
        <v>2</v>
      </c>
      <c r="J7" s="13" t="n">
        <v>0.333</v>
      </c>
      <c r="K7" s="17"/>
      <c r="L7" s="10"/>
      <c r="M7" s="10"/>
      <c r="N7" s="18"/>
    </row>
    <row r="8" customFormat="false" ht="15" hidden="false" customHeight="true" outlineLevel="0" collapsed="false">
      <c r="A8" s="5" t="s">
        <v>104</v>
      </c>
      <c r="B8" s="5" t="s">
        <v>51</v>
      </c>
      <c r="C8" s="10" t="n">
        <v>1</v>
      </c>
      <c r="D8" s="10" t="n">
        <v>2</v>
      </c>
      <c r="E8" s="10" t="n">
        <v>1</v>
      </c>
      <c r="F8" s="10" t="n">
        <v>0</v>
      </c>
      <c r="G8" s="10" t="n">
        <v>0</v>
      </c>
      <c r="H8" s="10" t="n">
        <v>0</v>
      </c>
      <c r="I8" s="10" t="n">
        <v>1</v>
      </c>
      <c r="J8" s="13" t="n">
        <v>0.5</v>
      </c>
      <c r="K8" s="17"/>
      <c r="L8" s="10"/>
      <c r="M8" s="10"/>
      <c r="N8" s="18"/>
    </row>
    <row r="9" customFormat="false" ht="15" hidden="false" customHeight="true" outlineLevel="0" collapsed="false">
      <c r="A9" s="5" t="s">
        <v>105</v>
      </c>
      <c r="B9" s="5" t="s">
        <v>51</v>
      </c>
      <c r="C9" s="10" t="n">
        <v>1</v>
      </c>
      <c r="D9" s="10" t="n">
        <v>3</v>
      </c>
      <c r="E9" s="10" t="n">
        <v>2</v>
      </c>
      <c r="F9" s="10" t="n">
        <v>0</v>
      </c>
      <c r="G9" s="10" t="n">
        <v>1</v>
      </c>
      <c r="H9" s="10" t="n">
        <v>0</v>
      </c>
      <c r="I9" s="10" t="n">
        <v>0</v>
      </c>
      <c r="J9" s="13" t="n">
        <v>0.667</v>
      </c>
      <c r="K9" s="17"/>
      <c r="L9" s="10"/>
      <c r="M9" s="10"/>
      <c r="N9" s="18"/>
    </row>
    <row r="10" customFormat="false" ht="15" hidden="false" customHeight="true" outlineLevel="0" collapsed="false">
      <c r="A10" s="5" t="s">
        <v>106</v>
      </c>
      <c r="B10" s="5" t="s">
        <v>51</v>
      </c>
      <c r="C10" s="10" t="n">
        <v>1</v>
      </c>
      <c r="D10" s="10" t="n">
        <v>2</v>
      </c>
      <c r="E10" s="10" t="n">
        <v>1</v>
      </c>
      <c r="F10" s="10" t="n">
        <v>0</v>
      </c>
      <c r="G10" s="10" t="n">
        <v>0</v>
      </c>
      <c r="H10" s="10" t="n">
        <v>0</v>
      </c>
      <c r="I10" s="10" t="n">
        <v>0</v>
      </c>
      <c r="J10" s="13" t="n">
        <v>0.5</v>
      </c>
      <c r="K10" s="17"/>
      <c r="L10" s="10"/>
      <c r="M10" s="10"/>
      <c r="N10" s="18"/>
    </row>
    <row r="11" customFormat="false" ht="15" hidden="false" customHeight="true" outlineLevel="0" collapsed="false">
      <c r="A11" s="5" t="s">
        <v>107</v>
      </c>
      <c r="B11" s="5" t="s">
        <v>51</v>
      </c>
      <c r="C11" s="10" t="n">
        <v>1</v>
      </c>
      <c r="D11" s="10" t="n">
        <v>1</v>
      </c>
      <c r="E11" s="10" t="n">
        <v>1</v>
      </c>
      <c r="F11" s="10" t="n">
        <v>0</v>
      </c>
      <c r="G11" s="10" t="n">
        <v>0</v>
      </c>
      <c r="H11" s="10" t="n">
        <v>0</v>
      </c>
      <c r="I11" s="10" t="n">
        <v>0</v>
      </c>
      <c r="J11" s="13" t="n">
        <v>1</v>
      </c>
      <c r="K11" s="17"/>
      <c r="L11" s="10"/>
      <c r="M11" s="10"/>
      <c r="N11" s="18"/>
    </row>
    <row r="12" customFormat="false" ht="15" hidden="false" customHeight="true" outlineLevel="0" collapsed="false">
      <c r="A12" s="5" t="s">
        <v>108</v>
      </c>
      <c r="B12" s="5" t="s">
        <v>51</v>
      </c>
      <c r="C12" s="10" t="n">
        <v>1</v>
      </c>
      <c r="D12" s="10" t="n">
        <v>3</v>
      </c>
      <c r="E12" s="10" t="n">
        <v>0</v>
      </c>
      <c r="F12" s="10" t="n">
        <v>0</v>
      </c>
      <c r="G12" s="10" t="n">
        <v>0</v>
      </c>
      <c r="H12" s="10" t="n">
        <v>0</v>
      </c>
      <c r="I12" s="10" t="n">
        <v>0</v>
      </c>
      <c r="J12" s="13" t="n">
        <v>0</v>
      </c>
      <c r="K12" s="17"/>
      <c r="L12" s="10"/>
      <c r="M12" s="10"/>
      <c r="N12" s="18"/>
    </row>
    <row r="13" customFormat="false" ht="15" hidden="false" customHeight="true" outlineLevel="0" collapsed="false">
      <c r="A13" s="5" t="s">
        <v>109</v>
      </c>
      <c r="B13" s="5" t="s">
        <v>51</v>
      </c>
      <c r="C13" s="10" t="n">
        <v>1</v>
      </c>
      <c r="D13" s="10" t="n">
        <v>3</v>
      </c>
      <c r="E13" s="10" t="n">
        <v>0</v>
      </c>
      <c r="F13" s="10" t="n">
        <v>0</v>
      </c>
      <c r="G13" s="10" t="n">
        <v>0</v>
      </c>
      <c r="H13" s="10" t="n">
        <v>0</v>
      </c>
      <c r="I13" s="10" t="n">
        <v>0</v>
      </c>
      <c r="J13" s="13" t="n">
        <v>0</v>
      </c>
      <c r="K13" s="17"/>
      <c r="L13" s="10"/>
      <c r="M13" s="10"/>
      <c r="N13" s="18"/>
    </row>
    <row r="14" customFormat="false" ht="15" hidden="false" customHeight="true" outlineLevel="0" collapsed="false">
      <c r="A14" s="5" t="s">
        <v>110</v>
      </c>
      <c r="B14" s="5" t="s">
        <v>51</v>
      </c>
      <c r="C14" s="10" t="n">
        <v>1</v>
      </c>
      <c r="D14" s="10" t="n">
        <v>3</v>
      </c>
      <c r="E14" s="10" t="n">
        <v>0</v>
      </c>
      <c r="F14" s="10" t="n">
        <v>0</v>
      </c>
      <c r="G14" s="10" t="n">
        <v>0</v>
      </c>
      <c r="H14" s="10" t="n">
        <v>0</v>
      </c>
      <c r="I14" s="10" t="n">
        <v>0</v>
      </c>
      <c r="J14" s="13" t="n">
        <v>0</v>
      </c>
      <c r="K14" s="17"/>
      <c r="L14" s="10"/>
      <c r="M14" s="10"/>
      <c r="N14" s="18"/>
    </row>
    <row r="15" customFormat="false" ht="15" hidden="false" customHeight="true" outlineLevel="0" collapsed="false">
      <c r="A15" s="5" t="s">
        <v>111</v>
      </c>
      <c r="B15" s="5" t="s">
        <v>51</v>
      </c>
      <c r="C15" s="10" t="n">
        <v>1</v>
      </c>
      <c r="D15" s="10" t="n">
        <v>2</v>
      </c>
      <c r="E15" s="10" t="n">
        <v>0</v>
      </c>
      <c r="F15" s="10" t="n">
        <v>0</v>
      </c>
      <c r="G15" s="10" t="n">
        <v>0</v>
      </c>
      <c r="H15" s="10" t="n">
        <v>0</v>
      </c>
      <c r="I15" s="10" t="n">
        <v>0</v>
      </c>
      <c r="J15" s="13" t="n">
        <v>0</v>
      </c>
      <c r="K15" s="17"/>
      <c r="L15" s="10"/>
      <c r="M15" s="10"/>
      <c r="N15" s="18"/>
    </row>
    <row r="16" customFormat="false" ht="15" hidden="false" customHeight="true" outlineLevel="0" collapsed="false">
      <c r="A16" s="5" t="s">
        <v>112</v>
      </c>
      <c r="B16" s="5" t="s">
        <v>51</v>
      </c>
      <c r="C16" s="10" t="n">
        <v>1</v>
      </c>
      <c r="D16" s="10" t="n">
        <v>1</v>
      </c>
      <c r="E16" s="10" t="n">
        <v>0</v>
      </c>
      <c r="F16" s="10" t="n">
        <v>0</v>
      </c>
      <c r="G16" s="10" t="n">
        <v>0</v>
      </c>
      <c r="H16" s="10" t="n">
        <v>0</v>
      </c>
      <c r="I16" s="10" t="n">
        <v>0</v>
      </c>
      <c r="J16" s="13" t="n">
        <v>0</v>
      </c>
      <c r="K16" s="17"/>
      <c r="L16" s="10"/>
      <c r="M16" s="10"/>
      <c r="N16" s="18"/>
    </row>
    <row r="17" customFormat="false" ht="15" hidden="false" customHeight="true" outlineLevel="0" collapsed="false">
      <c r="A17" s="5" t="s">
        <v>113</v>
      </c>
      <c r="B17" s="5" t="s">
        <v>51</v>
      </c>
      <c r="C17" s="10" t="n">
        <v>1</v>
      </c>
      <c r="D17" s="10" t="n">
        <v>0</v>
      </c>
      <c r="E17" s="10" t="n">
        <v>0</v>
      </c>
      <c r="F17" s="10" t="n">
        <v>0</v>
      </c>
      <c r="G17" s="10" t="n">
        <v>0</v>
      </c>
      <c r="H17" s="10" t="n">
        <v>0</v>
      </c>
      <c r="I17" s="10" t="n">
        <v>0</v>
      </c>
      <c r="J17" s="13"/>
      <c r="K17" s="17" t="n">
        <v>5.1</v>
      </c>
      <c r="L17" s="10" t="n">
        <v>0</v>
      </c>
      <c r="M17" s="10" t="n">
        <v>0</v>
      </c>
      <c r="N17" s="18" t="n">
        <v>9.19</v>
      </c>
    </row>
    <row r="18" customFormat="false" ht="15" hidden="false" customHeight="true" outlineLevel="0" collapsed="false">
      <c r="A18" s="19" t="s">
        <v>129</v>
      </c>
      <c r="B18" s="20"/>
      <c r="C18" s="20"/>
      <c r="D18" s="21" t="n">
        <f aca="false">SUM(D5:D17)</f>
        <v>29</v>
      </c>
      <c r="E18" s="21" t="n">
        <f aca="false">SUM(E5:E17)</f>
        <v>10</v>
      </c>
      <c r="F18" s="21" t="n">
        <f aca="false">SUM(F5:F17)</f>
        <v>1</v>
      </c>
      <c r="G18" s="21" t="n">
        <f aca="false">SUM(G5:G17)</f>
        <v>3</v>
      </c>
      <c r="H18" s="21" t="n">
        <f aca="false">SUM(H5:H17)</f>
        <v>0</v>
      </c>
      <c r="I18" s="21" t="n">
        <f aca="false">SUM(I5:I17)</f>
        <v>7</v>
      </c>
      <c r="J18" s="20"/>
      <c r="K18" s="22" t="n">
        <f aca="false">SUM(K5:K17)</f>
        <v>5.1</v>
      </c>
      <c r="L18" s="21" t="n">
        <f aca="false">SUM(L5:L17)</f>
        <v>0</v>
      </c>
      <c r="M18" s="21" t="n">
        <f aca="false">SUM(M5:M17)</f>
        <v>0</v>
      </c>
      <c r="N18" s="20"/>
    </row>
    <row r="19" customFormat="false" ht="15" hidden="false" customHeight="true" outlineLevel="0" collapsed="false">
      <c r="A19" s="19"/>
      <c r="B19" s="20"/>
      <c r="C19" s="20"/>
      <c r="D19" s="21"/>
      <c r="E19" s="21"/>
      <c r="F19" s="21"/>
      <c r="G19" s="21"/>
      <c r="H19" s="21"/>
      <c r="I19" s="21"/>
      <c r="J19" s="20"/>
      <c r="K19" s="22"/>
      <c r="L19" s="21"/>
      <c r="M19" s="21"/>
      <c r="N19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9" min="3" style="1" width="6"/>
    <col collapsed="false" customWidth="true" hidden="false" outlineLevel="0" max="10" min="10" style="1" width="8"/>
    <col collapsed="false" customWidth="true" hidden="false" outlineLevel="0" max="13" min="11" style="1" width="6"/>
    <col collapsed="false" customWidth="true" hidden="false" outlineLevel="0" max="14" min="14" style="1" width="8"/>
  </cols>
  <sheetData>
    <row r="1" customFormat="false" ht="19.5" hidden="false" customHeight="true" outlineLevel="0" collapsed="false">
      <c r="A1" s="2" t="s">
        <v>53</v>
      </c>
    </row>
    <row r="2" customFormat="false" ht="15" hidden="false" customHeight="true" outlineLevel="0" collapsed="false">
      <c r="A2" s="8" t="s">
        <v>68</v>
      </c>
    </row>
    <row r="4" customFormat="false" ht="19.5" hidden="false" customHeight="true" outlineLevel="0" collapsed="false">
      <c r="A4" s="15" t="s">
        <v>69</v>
      </c>
      <c r="B4" s="15" t="s">
        <v>39</v>
      </c>
      <c r="C4" s="16" t="s">
        <v>10</v>
      </c>
      <c r="D4" s="16" t="s">
        <v>12</v>
      </c>
      <c r="E4" s="16" t="s">
        <v>14</v>
      </c>
      <c r="F4" s="16" t="s">
        <v>16</v>
      </c>
      <c r="G4" s="16" t="s">
        <v>18</v>
      </c>
      <c r="H4" s="16" t="s">
        <v>20</v>
      </c>
      <c r="I4" s="16" t="s">
        <v>22</v>
      </c>
      <c r="J4" s="16" t="s">
        <v>24</v>
      </c>
      <c r="K4" s="16" t="s">
        <v>26</v>
      </c>
      <c r="L4" s="16" t="s">
        <v>28</v>
      </c>
      <c r="M4" s="16" t="s">
        <v>30</v>
      </c>
      <c r="N4" s="16" t="s">
        <v>32</v>
      </c>
    </row>
    <row r="5" customFormat="false" ht="15" hidden="false" customHeight="true" outlineLevel="0" collapsed="false">
      <c r="A5" s="5" t="s">
        <v>114</v>
      </c>
      <c r="B5" s="5" t="s">
        <v>53</v>
      </c>
      <c r="C5" s="10" t="n">
        <v>1</v>
      </c>
      <c r="D5" s="10" t="n">
        <v>2</v>
      </c>
      <c r="E5" s="10" t="n">
        <v>0</v>
      </c>
      <c r="F5" s="10" t="n">
        <v>0</v>
      </c>
      <c r="G5" s="10" t="n">
        <v>0</v>
      </c>
      <c r="H5" s="10" t="n">
        <v>0</v>
      </c>
      <c r="I5" s="10" t="n">
        <v>3</v>
      </c>
      <c r="J5" s="13" t="n">
        <v>0</v>
      </c>
      <c r="K5" s="17"/>
      <c r="L5" s="10"/>
      <c r="M5" s="10"/>
      <c r="N5" s="18"/>
    </row>
    <row r="6" customFormat="false" ht="15" hidden="false" customHeight="true" outlineLevel="0" collapsed="false">
      <c r="A6" s="5" t="s">
        <v>115</v>
      </c>
      <c r="B6" s="5" t="s">
        <v>53</v>
      </c>
      <c r="C6" s="10" t="n">
        <v>1</v>
      </c>
      <c r="D6" s="10" t="n">
        <v>2</v>
      </c>
      <c r="E6" s="10" t="n">
        <v>1</v>
      </c>
      <c r="F6" s="10" t="n">
        <v>0</v>
      </c>
      <c r="G6" s="10" t="n">
        <v>0</v>
      </c>
      <c r="H6" s="10" t="n">
        <v>0</v>
      </c>
      <c r="I6" s="10" t="n">
        <v>2</v>
      </c>
      <c r="J6" s="13" t="n">
        <v>0.5</v>
      </c>
      <c r="K6" s="17"/>
      <c r="L6" s="10"/>
      <c r="M6" s="10"/>
      <c r="N6" s="18"/>
    </row>
    <row r="7" customFormat="false" ht="15" hidden="false" customHeight="true" outlineLevel="0" collapsed="false">
      <c r="A7" s="5" t="s">
        <v>116</v>
      </c>
      <c r="B7" s="5" t="s">
        <v>53</v>
      </c>
      <c r="C7" s="10" t="n">
        <v>1</v>
      </c>
      <c r="D7" s="10" t="n">
        <v>1</v>
      </c>
      <c r="E7" s="10" t="n">
        <v>1</v>
      </c>
      <c r="F7" s="10" t="n">
        <v>1</v>
      </c>
      <c r="G7" s="10" t="n">
        <v>0</v>
      </c>
      <c r="H7" s="10" t="n">
        <v>0</v>
      </c>
      <c r="I7" s="10" t="n">
        <v>2</v>
      </c>
      <c r="J7" s="13" t="n">
        <v>1</v>
      </c>
      <c r="K7" s="17"/>
      <c r="L7" s="10"/>
      <c r="M7" s="10"/>
      <c r="N7" s="18"/>
    </row>
    <row r="8" customFormat="false" ht="15" hidden="false" customHeight="true" outlineLevel="0" collapsed="false">
      <c r="A8" s="5" t="s">
        <v>117</v>
      </c>
      <c r="B8" s="5" t="s">
        <v>53</v>
      </c>
      <c r="C8" s="10" t="n">
        <v>1</v>
      </c>
      <c r="D8" s="10" t="n">
        <v>3</v>
      </c>
      <c r="E8" s="10" t="n">
        <v>2</v>
      </c>
      <c r="F8" s="10" t="n">
        <v>1</v>
      </c>
      <c r="G8" s="10" t="n">
        <v>0</v>
      </c>
      <c r="H8" s="10" t="n">
        <v>0</v>
      </c>
      <c r="I8" s="10" t="n">
        <v>1</v>
      </c>
      <c r="J8" s="13" t="n">
        <v>0.667</v>
      </c>
      <c r="K8" s="17"/>
      <c r="L8" s="10"/>
      <c r="M8" s="10"/>
      <c r="N8" s="18"/>
    </row>
    <row r="9" customFormat="false" ht="15" hidden="false" customHeight="true" outlineLevel="0" collapsed="false">
      <c r="A9" s="5" t="s">
        <v>118</v>
      </c>
      <c r="B9" s="5" t="s">
        <v>53</v>
      </c>
      <c r="C9" s="10" t="n">
        <v>1</v>
      </c>
      <c r="D9" s="10" t="n">
        <v>3</v>
      </c>
      <c r="E9" s="10" t="n">
        <v>2</v>
      </c>
      <c r="F9" s="10" t="n">
        <v>2</v>
      </c>
      <c r="G9" s="10" t="n">
        <v>0</v>
      </c>
      <c r="H9" s="10" t="n">
        <v>0</v>
      </c>
      <c r="I9" s="10" t="n">
        <v>1</v>
      </c>
      <c r="J9" s="13" t="n">
        <v>0.667</v>
      </c>
      <c r="K9" s="17" t="n">
        <v>5</v>
      </c>
      <c r="L9" s="10" t="n">
        <v>0</v>
      </c>
      <c r="M9" s="10" t="n">
        <v>0</v>
      </c>
      <c r="N9" s="18" t="n">
        <v>8.4</v>
      </c>
    </row>
    <row r="10" customFormat="false" ht="15" hidden="false" customHeight="true" outlineLevel="0" collapsed="false">
      <c r="A10" s="5" t="s">
        <v>119</v>
      </c>
      <c r="B10" s="5" t="s">
        <v>53</v>
      </c>
      <c r="C10" s="10" t="n">
        <v>1</v>
      </c>
      <c r="D10" s="10" t="n">
        <v>2</v>
      </c>
      <c r="E10" s="10" t="n">
        <v>2</v>
      </c>
      <c r="F10" s="10" t="n">
        <v>1</v>
      </c>
      <c r="G10" s="10" t="n">
        <v>0</v>
      </c>
      <c r="H10" s="10" t="n">
        <v>0</v>
      </c>
      <c r="I10" s="10" t="n">
        <v>1</v>
      </c>
      <c r="J10" s="13" t="n">
        <v>1</v>
      </c>
      <c r="K10" s="17"/>
      <c r="L10" s="10"/>
      <c r="M10" s="10"/>
      <c r="N10" s="18"/>
    </row>
    <row r="11" customFormat="false" ht="15" hidden="false" customHeight="true" outlineLevel="0" collapsed="false">
      <c r="A11" s="5" t="s">
        <v>120</v>
      </c>
      <c r="B11" s="5" t="s">
        <v>53</v>
      </c>
      <c r="C11" s="10" t="n">
        <v>1</v>
      </c>
      <c r="D11" s="10" t="n">
        <v>3</v>
      </c>
      <c r="E11" s="10" t="n">
        <v>1</v>
      </c>
      <c r="F11" s="10" t="n">
        <v>1</v>
      </c>
      <c r="G11" s="10" t="n">
        <v>0</v>
      </c>
      <c r="H11" s="10" t="n">
        <v>0</v>
      </c>
      <c r="I11" s="10" t="n">
        <v>1</v>
      </c>
      <c r="J11" s="13" t="n">
        <v>0.5</v>
      </c>
      <c r="K11" s="17"/>
      <c r="L11" s="10"/>
      <c r="M11" s="10"/>
      <c r="N11" s="18"/>
    </row>
    <row r="12" customFormat="false" ht="15" hidden="false" customHeight="true" outlineLevel="0" collapsed="false">
      <c r="A12" s="5" t="s">
        <v>121</v>
      </c>
      <c r="B12" s="5" t="s">
        <v>53</v>
      </c>
      <c r="C12" s="10" t="n">
        <v>1</v>
      </c>
      <c r="D12" s="10" t="n">
        <v>3</v>
      </c>
      <c r="E12" s="10" t="n">
        <v>2</v>
      </c>
      <c r="F12" s="10" t="n">
        <v>1</v>
      </c>
      <c r="G12" s="10" t="n">
        <v>0</v>
      </c>
      <c r="H12" s="10" t="n">
        <v>0</v>
      </c>
      <c r="I12" s="10" t="n">
        <v>0</v>
      </c>
      <c r="J12" s="13" t="n">
        <v>0.667</v>
      </c>
      <c r="K12" s="17"/>
      <c r="L12" s="10"/>
      <c r="M12" s="10"/>
      <c r="N12" s="18"/>
    </row>
    <row r="13" customFormat="false" ht="15" hidden="false" customHeight="true" outlineLevel="0" collapsed="false">
      <c r="A13" s="5" t="s">
        <v>122</v>
      </c>
      <c r="B13" s="5" t="s">
        <v>53</v>
      </c>
      <c r="C13" s="10" t="n">
        <v>1</v>
      </c>
      <c r="D13" s="10" t="n">
        <v>3</v>
      </c>
      <c r="E13" s="10" t="n">
        <v>1</v>
      </c>
      <c r="F13" s="10" t="n">
        <v>0</v>
      </c>
      <c r="G13" s="10" t="n">
        <v>0</v>
      </c>
      <c r="H13" s="10" t="n">
        <v>0</v>
      </c>
      <c r="I13" s="10" t="n">
        <v>0</v>
      </c>
      <c r="J13" s="13" t="n">
        <v>0.5</v>
      </c>
      <c r="K13" s="17"/>
      <c r="L13" s="10"/>
      <c r="M13" s="10"/>
      <c r="N13" s="18"/>
    </row>
    <row r="14" customFormat="false" ht="15" hidden="false" customHeight="true" outlineLevel="0" collapsed="false">
      <c r="A14" s="5" t="s">
        <v>123</v>
      </c>
      <c r="B14" s="5" t="s">
        <v>53</v>
      </c>
      <c r="C14" s="10" t="n">
        <v>1</v>
      </c>
      <c r="D14" s="10" t="n">
        <v>3</v>
      </c>
      <c r="E14" s="10" t="n">
        <v>0</v>
      </c>
      <c r="F14" s="10" t="n">
        <v>0</v>
      </c>
      <c r="G14" s="10" t="n">
        <v>0</v>
      </c>
      <c r="H14" s="10" t="n">
        <v>0</v>
      </c>
      <c r="I14" s="10" t="n">
        <v>0</v>
      </c>
      <c r="J14" s="13" t="n">
        <v>0</v>
      </c>
      <c r="K14" s="17"/>
      <c r="L14" s="10"/>
      <c r="M14" s="10"/>
      <c r="N14" s="18"/>
    </row>
    <row r="15" customFormat="false" ht="15" hidden="false" customHeight="true" outlineLevel="0" collapsed="false">
      <c r="A15" s="5" t="s">
        <v>124</v>
      </c>
      <c r="B15" s="5" t="s">
        <v>53</v>
      </c>
      <c r="C15" s="10" t="n">
        <v>1</v>
      </c>
      <c r="D15" s="10" t="n">
        <v>2</v>
      </c>
      <c r="E15" s="10" t="n">
        <v>0</v>
      </c>
      <c r="F15" s="10" t="n">
        <v>0</v>
      </c>
      <c r="G15" s="10" t="n">
        <v>0</v>
      </c>
      <c r="H15" s="10" t="n">
        <v>0</v>
      </c>
      <c r="I15" s="10" t="n">
        <v>0</v>
      </c>
      <c r="J15" s="13" t="n">
        <v>0</v>
      </c>
      <c r="K15" s="17"/>
      <c r="L15" s="10"/>
      <c r="M15" s="10"/>
      <c r="N15" s="18"/>
    </row>
    <row r="16" customFormat="false" ht="15" hidden="false" customHeight="true" outlineLevel="0" collapsed="false">
      <c r="A16" s="5" t="s">
        <v>125</v>
      </c>
      <c r="B16" s="5" t="s">
        <v>53</v>
      </c>
      <c r="C16" s="10" t="n">
        <v>1</v>
      </c>
      <c r="D16" s="10" t="n">
        <v>1</v>
      </c>
      <c r="E16" s="10" t="n">
        <v>0</v>
      </c>
      <c r="F16" s="10" t="n">
        <v>0</v>
      </c>
      <c r="G16" s="10" t="n">
        <v>0</v>
      </c>
      <c r="H16" s="10" t="n">
        <v>0</v>
      </c>
      <c r="I16" s="10" t="n">
        <v>0</v>
      </c>
      <c r="J16" s="13" t="n">
        <v>0</v>
      </c>
      <c r="K16" s="17"/>
      <c r="L16" s="10"/>
      <c r="M16" s="10"/>
      <c r="N16" s="18"/>
    </row>
    <row r="17" customFormat="false" ht="15" hidden="false" customHeight="true" outlineLevel="0" collapsed="false">
      <c r="A17" s="5" t="s">
        <v>126</v>
      </c>
      <c r="B17" s="5" t="s">
        <v>53</v>
      </c>
      <c r="C17" s="10" t="n">
        <v>1</v>
      </c>
      <c r="D17" s="10" t="n">
        <v>1</v>
      </c>
      <c r="E17" s="10" t="n">
        <v>0</v>
      </c>
      <c r="F17" s="10" t="n">
        <v>0</v>
      </c>
      <c r="G17" s="10" t="n">
        <v>0</v>
      </c>
      <c r="H17" s="10" t="n">
        <v>0</v>
      </c>
      <c r="I17" s="10" t="n">
        <v>0</v>
      </c>
      <c r="J17" s="13" t="n">
        <v>0</v>
      </c>
      <c r="K17" s="17"/>
      <c r="L17" s="10"/>
      <c r="M17" s="10"/>
      <c r="N17" s="18"/>
    </row>
    <row r="18" customFormat="false" ht="15" hidden="false" customHeight="true" outlineLevel="0" collapsed="false">
      <c r="A18" s="5" t="s">
        <v>127</v>
      </c>
      <c r="B18" s="5" t="s">
        <v>53</v>
      </c>
      <c r="C18" s="10" t="n">
        <v>1</v>
      </c>
      <c r="D18" s="10" t="n">
        <v>1</v>
      </c>
      <c r="E18" s="10" t="n">
        <v>0</v>
      </c>
      <c r="F18" s="10" t="n">
        <v>0</v>
      </c>
      <c r="G18" s="10" t="n">
        <v>0</v>
      </c>
      <c r="H18" s="10" t="n">
        <v>0</v>
      </c>
      <c r="I18" s="10" t="n">
        <v>0</v>
      </c>
      <c r="J18" s="13" t="n">
        <v>0</v>
      </c>
      <c r="K18" s="17"/>
      <c r="L18" s="10"/>
      <c r="M18" s="10"/>
      <c r="N18" s="18"/>
    </row>
    <row r="19" customFormat="false" ht="15" hidden="false" customHeight="true" outlineLevel="0" collapsed="false">
      <c r="A19" s="5" t="s">
        <v>128</v>
      </c>
      <c r="B19" s="5" t="s">
        <v>53</v>
      </c>
      <c r="C19" s="10" t="n">
        <v>1</v>
      </c>
      <c r="D19" s="10" t="n">
        <v>1</v>
      </c>
      <c r="E19" s="10" t="n">
        <v>0</v>
      </c>
      <c r="F19" s="10" t="n">
        <v>0</v>
      </c>
      <c r="G19" s="10" t="n">
        <v>0</v>
      </c>
      <c r="H19" s="10" t="n">
        <v>0</v>
      </c>
      <c r="I19" s="10" t="n">
        <v>0</v>
      </c>
      <c r="J19" s="13"/>
      <c r="K19" s="17"/>
      <c r="L19" s="10"/>
      <c r="M19" s="10"/>
      <c r="N19" s="18"/>
    </row>
    <row r="20" customFormat="false" ht="15" hidden="false" customHeight="false" outlineLevel="0" collapsed="false">
      <c r="A20" s="19" t="s">
        <v>129</v>
      </c>
      <c r="B20" s="20"/>
      <c r="C20" s="20"/>
      <c r="D20" s="21" t="n">
        <f aca="false">SUM(D5:D19)</f>
        <v>31</v>
      </c>
      <c r="E20" s="21" t="n">
        <f aca="false">SUM(E5:E19)</f>
        <v>12</v>
      </c>
      <c r="F20" s="21" t="n">
        <f aca="false">SUM(F5:F19)</f>
        <v>7</v>
      </c>
      <c r="G20" s="21" t="n">
        <f aca="false">SUM(G5:G19)</f>
        <v>0</v>
      </c>
      <c r="H20" s="21" t="n">
        <f aca="false">SUM(H5:H19)</f>
        <v>0</v>
      </c>
      <c r="I20" s="21" t="n">
        <f aca="false">SUM(I5:I19)</f>
        <v>11</v>
      </c>
      <c r="J20" s="20"/>
      <c r="K20" s="22" t="n">
        <f aca="false">SUM(K5:K19)</f>
        <v>5</v>
      </c>
      <c r="L20" s="21" t="n">
        <f aca="false">SUM(L5:L19)</f>
        <v>0</v>
      </c>
      <c r="M20" s="21" t="n">
        <f aca="false">SUM(M5:M19)</f>
        <v>0</v>
      </c>
      <c r="N20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2026-09-11T13:47:16Z</dcterms:created>
  <dc:creator>openpyxl</dc:creator>
  <dc:description/>
  <dc:language>en-US</dc:language>
  <cp:lastModifiedBy/>
  <dcterms:modified xsi:type="dcterms:W3CDTF">2026-09-17T04:24:40Z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